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nina/Desktop/University of Vienna/PhD projects/python code/interoception-synchrony/Files data/"/>
    </mc:Choice>
  </mc:AlternateContent>
  <xr:revisionPtr revIDLastSave="0" documentId="13_ncr:1_{AF75DCB2-612A-F249-B878-1AC38580E17E}" xr6:coauthVersionLast="47" xr6:coauthVersionMax="47" xr10:uidLastSave="{00000000-0000-0000-0000-000000000000}"/>
  <bookViews>
    <workbookView xWindow="0" yWindow="500" windowWidth="38400" windowHeight="19560" tabRatio="974" xr2:uid="{00000000-000D-0000-FFFF-FFFF00000000}"/>
  </bookViews>
  <sheets>
    <sheet name="01_IBI_Availability" sheetId="1" r:id="rId1"/>
    <sheet name="Above1000" sheetId="2" r:id="rId2"/>
    <sheet name="ibis_infants_9_with_toys" sheetId="5" r:id="rId3"/>
    <sheet name="ibis_moms_9_with_toys" sheetId="6" r:id="rId4"/>
    <sheet name="ibis_infants_9_without_toys" sheetId="3" r:id="rId5"/>
    <sheet name="ibis_moms_9_without_toys" sheetId="4" r:id="rId6"/>
    <sheet name="ibis_infants_18_without_toys" sheetId="7" r:id="rId7"/>
    <sheet name="ibis_moms_18_without_toys" sheetId="8" r:id="rId8"/>
    <sheet name="ibis_infants_18_with_book" sheetId="9" r:id="rId9"/>
    <sheet name="ibis_moms_18_with_book" sheetId="10" r:id="rId10"/>
    <sheet name="ibis_infants_18_with_puzzle" sheetId="11" r:id="rId11"/>
    <sheet name="ibis_moms_18_with_puzz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3" i="8" l="1"/>
  <c r="I93" i="8"/>
  <c r="H93" i="8"/>
  <c r="I94" i="7"/>
  <c r="J94" i="7"/>
  <c r="H94" i="7"/>
  <c r="I93" i="4"/>
  <c r="J93" i="4"/>
  <c r="H93" i="4"/>
  <c r="I93" i="3"/>
  <c r="J93" i="3"/>
  <c r="H93" i="3"/>
  <c r="O93" i="6"/>
  <c r="P93" i="6"/>
  <c r="Q93" i="6"/>
  <c r="K93" i="6"/>
  <c r="L93" i="6"/>
  <c r="M93" i="6"/>
  <c r="N93" i="6"/>
  <c r="I93" i="6"/>
  <c r="J93" i="6"/>
  <c r="H93" i="6"/>
  <c r="I97" i="5"/>
  <c r="J97" i="5"/>
  <c r="K97" i="5"/>
  <c r="L97" i="5"/>
  <c r="M97" i="5"/>
  <c r="N97" i="5"/>
  <c r="O97" i="5"/>
  <c r="P97" i="5"/>
  <c r="Q97" i="5"/>
  <c r="R97" i="5"/>
  <c r="S97" i="5"/>
  <c r="H97" i="5"/>
  <c r="C98" i="1" l="1"/>
  <c r="D98" i="1"/>
  <c r="E98" i="1"/>
  <c r="C97" i="1"/>
  <c r="D97" i="1"/>
  <c r="E97" i="1"/>
  <c r="C96" i="1"/>
  <c r="D96" i="1"/>
  <c r="E96" i="1"/>
  <c r="C95" i="1"/>
  <c r="D95" i="1"/>
  <c r="E95" i="1"/>
  <c r="C94" i="1"/>
  <c r="D94" i="1"/>
  <c r="E94" i="1"/>
  <c r="B98" i="1"/>
  <c r="B97" i="1"/>
  <c r="B96" i="1"/>
  <c r="B95" i="1"/>
  <c r="B94" i="1"/>
  <c r="E101" i="1" a="1"/>
  <c r="E100" i="1" a="1"/>
  <c r="D101" i="1" a="1"/>
  <c r="D100" i="1" a="1"/>
  <c r="C101" i="1" a="1"/>
  <c r="C100" i="1" a="1"/>
  <c r="B101" i="1" a="1"/>
  <c r="B100" i="1" a="1"/>
  <c r="E101" i="1" l="1"/>
  <c r="E100" i="1"/>
  <c r="D101" i="1"/>
  <c r="D100" i="1"/>
  <c r="C101" i="1"/>
  <c r="C100" i="1"/>
  <c r="B101" i="1"/>
  <c r="B10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<sst xmlns="http://schemas.openxmlformats.org/spreadsheetml/2006/main" count="698" uniqueCount="156">
  <si>
    <t>dyad_id (87 dyads)</t>
  </si>
  <si>
    <t>infant 9 month</t>
  </si>
  <si>
    <t>infant 18 month</t>
  </si>
  <si>
    <t>mom 18 month</t>
  </si>
  <si>
    <t>mom 9 month</t>
  </si>
  <si>
    <t>False</t>
  </si>
  <si>
    <t>toys: 0,1,2</t>
  </si>
  <si>
    <t>ch_0</t>
  </si>
  <si>
    <t>ch_1</t>
  </si>
  <si>
    <t>ch_2</t>
  </si>
  <si>
    <t>dyads_total</t>
  </si>
  <si>
    <t>dyads_above_1000</t>
  </si>
  <si>
    <t>ibis_infants_9_without_toys</t>
  </si>
  <si>
    <t>ibis_moms_9_without_toys</t>
  </si>
  <si>
    <t>ibis_infants_9_with_toys</t>
  </si>
  <si>
    <t>ibis_moms_9_with_toys</t>
  </si>
  <si>
    <t>ibis_infants_18_without_toys</t>
  </si>
  <si>
    <t>ibis_moms_18_without_toys</t>
  </si>
  <si>
    <t>ibis_infants_18_with_book</t>
  </si>
  <si>
    <t>ibis_moms_18_with_book</t>
  </si>
  <si>
    <t>ibis_infants_18_with_puzzle</t>
  </si>
  <si>
    <t>ibis_moms_18_with_puzzle</t>
  </si>
  <si>
    <t>dyad_id (78 dyads)</t>
  </si>
  <si>
    <t>ch_0_lenght</t>
  </si>
  <si>
    <t>ch_1_lenght</t>
  </si>
  <si>
    <t>ch_2_lenght</t>
  </si>
  <si>
    <t>ch_0_mean</t>
  </si>
  <si>
    <t>ch_1_mean</t>
  </si>
  <si>
    <t>ch_2_mean</t>
  </si>
  <si>
    <t>ch_0_std</t>
  </si>
  <si>
    <t>ch_1_std</t>
  </si>
  <si>
    <t>ch_2_std</t>
  </si>
  <si>
    <t>ch_0_min</t>
  </si>
  <si>
    <t>ch_1_min</t>
  </si>
  <si>
    <t>ch_2_min</t>
  </si>
  <si>
    <t>ch_0_max</t>
  </si>
  <si>
    <t>ch_1_max</t>
  </si>
  <si>
    <t>ch_2_max</t>
  </si>
  <si>
    <t>ch_0_above_1000</t>
  </si>
  <si>
    <t>ch_1_above_1000</t>
  </si>
  <si>
    <t>ch_2_above_1000</t>
  </si>
  <si>
    <t>dyad_id (79 dyads)</t>
  </si>
  <si>
    <t>dyad_id (30 dyads)</t>
  </si>
  <si>
    <t>dyad_id (31 dyads)</t>
  </si>
  <si>
    <t>dyad_id (29 dyads)</t>
  </si>
  <si>
    <t>dyad_id (28 dyads)</t>
  </si>
  <si>
    <t>Notes according to Minica's table</t>
  </si>
  <si>
    <t xml:space="preserve">ch0 best (flipped), ch1  ok, ch2 bad .should  be RSA sync. total IBI/interpolated IBI: 376/3, </t>
  </si>
  <si>
    <t>All should be bad quality, should not be RSA sync</t>
  </si>
  <si>
    <t>ch1 &amp; ch2 are best. Ch0 is ok. No RSA sync</t>
  </si>
  <si>
    <t>ch0 best, ch2 ok, ch1 bad. No RSA sync</t>
  </si>
  <si>
    <t>no data</t>
  </si>
  <si>
    <t>ch0 best (flipped), ch1 and ch2 ok. No RSA sync</t>
  </si>
  <si>
    <t>ch0 and ch2 best, ch1 ok. No RSA sync</t>
  </si>
  <si>
    <t>ch0 best, ch1 and ch2 ok. No RSA sync</t>
  </si>
  <si>
    <t>ch1 best, ch2 ok, ch0 bad. RSA exist, total IBI/interpolated IBI: 382/0</t>
  </si>
  <si>
    <t>ch0 best, ch1&amp;ch2 ok. RSA exist, total IBI/interpolated IBI: 426/0</t>
  </si>
  <si>
    <t xml:space="preserve">ch0 (chosen)  &amp;ch1 best, ch2 ok, no RSA </t>
  </si>
  <si>
    <t>ch0 ok, ch1 &amp;ch2 bad,  RSA exist, total IBI/interpolated IBI: 619/265</t>
  </si>
  <si>
    <t>ch 0 chosen - best (flipped), ch1 best, ch2 bad. RSA exist, total IBI/interpolated IBI: 506/0</t>
  </si>
  <si>
    <t xml:space="preserve">ch0 &amp; ch2 ok. Ch2 bad. No RSA sync, </t>
  </si>
  <si>
    <t>ch0 ok (flipped), ch1&amp;ch2 bad. RSA exist. total IBI/interpolated IBI:333/141</t>
  </si>
  <si>
    <t>ch2 best, ch0&amp;ch1 ok. RSA exist. total IBI/interpolated IBI: 382/0</t>
  </si>
  <si>
    <t>all ok, ch0 flipped, some parts of ch2 ok, RSA exist. total IBI/interpolated IBI:326/65</t>
  </si>
  <si>
    <t>ch1 best, ch0 &amp; ch2 ok, no information on RSA</t>
  </si>
  <si>
    <t>All bad, bad calibrtion. no information on RSA</t>
  </si>
  <si>
    <t>No info on quality and RSA</t>
  </si>
  <si>
    <t>ch1&amp; ch2 best, ch0 ok, no information on RSA</t>
  </si>
  <si>
    <t>very fussy baby, no inforamtion</t>
  </si>
  <si>
    <t>no information</t>
  </si>
  <si>
    <t>no wp3</t>
  </si>
  <si>
    <t>ch1 best (chosen), ch0 best (flipped), ch2 ok. RSA exist. total IBI/interpolated IBI: 317/13</t>
  </si>
  <si>
    <t>ch1&amp; ch2 best, ch0 ok, no RSA</t>
  </si>
  <si>
    <t>ch1 best  - chosen(interesting pattern(, ch2 best, ch0 ok. RSA exist. total IBI/interpolated IBI:372/7</t>
  </si>
  <si>
    <t>ch1 best (chosen), ch2 best, ch0 ok.  RSA exist. 307/5</t>
  </si>
  <si>
    <t>ch2  chosen, all best, RSA exist, 352/0</t>
  </si>
  <si>
    <t>ch2 best chosen, ch1 best., ch0 bad, RSA exist, 416/6</t>
  </si>
  <si>
    <t>All ch ok, no RSA</t>
  </si>
  <si>
    <t>ch1 ok chosen, ch0 ok, ch2 bad, RSA exists 448/59</t>
  </si>
  <si>
    <t>No quality info, no RSA</t>
  </si>
  <si>
    <t>All best, ch1 chosen, RSA exist, 451/0</t>
  </si>
  <si>
    <t>All best, ch1 chosen, RSA exist, 426/0</t>
  </si>
  <si>
    <t>ch1 chosen best,ch2 best, ch0 ok,  RSA exist, 337/0</t>
  </si>
  <si>
    <t>ch1 chosen best,ch2 best, ch0 ok,  RSA exist, 452/1</t>
  </si>
  <si>
    <t>ch1 ok (some parts), RSA exists, 811/714</t>
  </si>
  <si>
    <t>ch0 ok (some parts), RSA exists, 902/656</t>
  </si>
  <si>
    <t>ch0 best, RSA exists, 440/142</t>
  </si>
  <si>
    <t>ch0 best, RSA exists, 444/1</t>
  </si>
  <si>
    <t>ch2 best, RSA exists, 390/30</t>
  </si>
  <si>
    <t>ch1 best, RSA exists, 390/0</t>
  </si>
  <si>
    <t>ch1 best, RSA exists, 391/0</t>
  </si>
  <si>
    <t>ch2 best, RSA exists, 419/0</t>
  </si>
  <si>
    <t>ch2 best, RSA exists, 417/0</t>
  </si>
  <si>
    <t>ch1 best, RSA exists, 470/8</t>
  </si>
  <si>
    <t>ch1 best, RSA exists, 444/23</t>
  </si>
  <si>
    <t>ch2 best, RSA exists, 426/80</t>
  </si>
  <si>
    <t>ch2 best, RSA exists, 407/18</t>
  </si>
  <si>
    <t>ch1 best, RSA exists, 355/11</t>
  </si>
  <si>
    <t>ch1 best, RSA exists, 437/3</t>
  </si>
  <si>
    <t>ch1 best, RSA exists, 441/184</t>
  </si>
  <si>
    <t>ch1 best, RSA exists, 379/18</t>
  </si>
  <si>
    <t>ch1 best, RSA exists, 377/12</t>
  </si>
  <si>
    <t>ch1 best, RSA exists, 414/6</t>
  </si>
  <si>
    <t>ch1 best, RSA exists, 426/55</t>
  </si>
  <si>
    <t>ch0 best, RSA exists, 416/0</t>
  </si>
  <si>
    <t>ch1 best, RSA exists, 122/0</t>
  </si>
  <si>
    <t>ch2 best, RSA exists, 368/68</t>
  </si>
  <si>
    <t>ch1 ok, no RSA , 370/252</t>
  </si>
  <si>
    <t>ch1 best, RSA exists, 496/4</t>
  </si>
  <si>
    <t>ch0 best, no RSA exists</t>
  </si>
  <si>
    <t>ch1 best, RSA exists, 229/76</t>
  </si>
  <si>
    <t>ch1 best, RSA exists, 291/59</t>
  </si>
  <si>
    <t>ch1 best, RSA exists, 376/33</t>
  </si>
  <si>
    <t>ch2 ok, RSA exists, 370/345</t>
  </si>
  <si>
    <t>ch2 best, RSA exists, 404/15</t>
  </si>
  <si>
    <t xml:space="preserve">ch1 ok, no RSA </t>
  </si>
  <si>
    <t>ch1 best, RSA exists, 325/2</t>
  </si>
  <si>
    <t>No quality info</t>
  </si>
  <si>
    <t>Total usable subjects</t>
  </si>
  <si>
    <r>
      <t xml:space="preserve">Total usable subjects - </t>
    </r>
    <r>
      <rPr>
        <b/>
        <sz val="11"/>
        <color theme="1"/>
        <rFont val="Arial"/>
        <family val="2"/>
      </rPr>
      <t>no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toys</t>
    </r>
  </si>
  <si>
    <r>
      <t>Total usable subjects -</t>
    </r>
    <r>
      <rPr>
        <b/>
        <sz val="11"/>
        <color theme="1"/>
        <rFont val="Arial"/>
        <family val="2"/>
      </rPr>
      <t xml:space="preserve"> toys</t>
    </r>
  </si>
  <si>
    <t>Usable subjects book</t>
  </si>
  <si>
    <t xml:space="preserve">Usable subjects puzzle </t>
  </si>
  <si>
    <t>No data - as in Monica's table</t>
  </si>
  <si>
    <t>Not in Monica's table</t>
  </si>
  <si>
    <t>toys: 0,1,2  toys_no: 0,1,2</t>
  </si>
  <si>
    <t>book: 0,1,2  toys_no: 0,1,2  puzzle: 0,1,2</t>
  </si>
  <si>
    <t>toys_no: 0,1,2  book: 0,1,2  puzzle: 0,1,2</t>
  </si>
  <si>
    <t>toys_no: 0,1,2  toys: 0,1,2</t>
  </si>
  <si>
    <t>puzzle: 0,1,2  toys_no: 0,1,2</t>
  </si>
  <si>
    <t>puzzle: 0,1,2  book: 0,1,2  toys_no: 0,1,2</t>
  </si>
  <si>
    <t>toys_no: 1,2  book: 1,2</t>
  </si>
  <si>
    <t>toys_no: 0,1,2  book: 0,1,2</t>
  </si>
  <si>
    <t>toys_no: 0,1,2</t>
  </si>
  <si>
    <t>book: 0,1,2  puzzle: 0,1,2  toys_no: 0,1,2</t>
  </si>
  <si>
    <t>puzzle: 0,2  book: 0,2  toys_no: 0,1</t>
  </si>
  <si>
    <t>puzzle: 0,1,2  toys_no: 0,1,2  book: 0,1,2</t>
  </si>
  <si>
    <t>puzzle: 0,2  toys_no: 0  book: 0</t>
  </si>
  <si>
    <t>puzzle: 0,2  book: 0,2  toys_no: 0,2</t>
  </si>
  <si>
    <t>puzzle: 0,2  book: 0  toys_no: 0,2</t>
  </si>
  <si>
    <t>toys_no: 0,1,2  puzzle: 0,1,2  book: 0,1,2</t>
  </si>
  <si>
    <t>book: 0,1,2  toys_no: 0,1,2</t>
  </si>
  <si>
    <t>toys_no: 0,1,2  book: 0</t>
  </si>
  <si>
    <t>Files location</t>
  </si>
  <si>
    <t>Excel folder</t>
  </si>
  <si>
    <t>Pickel file - all data</t>
  </si>
  <si>
    <t>Pickel file - ibis</t>
  </si>
  <si>
    <t>Pickel file - peaks</t>
  </si>
  <si>
    <t>Q:\hoehl\projects\mibo_p\Physiological_Synchrony\data\01_ibi_after_extraction_from_xdf\ibiData - with Moritz data - WE USE THIS</t>
  </si>
  <si>
    <t>Q:\hoehl\projects\mibo_p\Physiological_Synchrony\scripts\Nina files processing code\01_ibi_after_extraction_data.pkl</t>
  </si>
  <si>
    <t>Q:\hoehl\projects\mibo_p\Physiological_Synchrony\scripts\Nina files processing code\01_ibi_after_extraction_ibis_data.pkl</t>
  </si>
  <si>
    <t>Q:\hoehl\projects\mibo_p\Physiological_Synchrony\scripts\Nina files processing code\01_ibi_after_extraction_peaks_data.pkl</t>
  </si>
  <si>
    <t>ch_0_lenght_peaks</t>
  </si>
  <si>
    <t>ch_1_lenght_peaks</t>
  </si>
  <si>
    <t>ch_2_lenght_peaks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</si>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</sst>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2D2D2D"/>
      <name val="Arial"/>
      <family val="2"/>
    </font>
    <font>
      <sz val="11"/>
      <color theme="1"/>
      <name val="Arial"/>
      <family val="2"/>
    </font>
    <font>
      <sz val="11"/>
      <color rgb="FF2D2D2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3" fillId="0" borderId="2" xfId="0" applyFont="1" applyBorder="1" applyAlignment="1">
      <alignment horizontal="left" vertical="top"/>
    </xf>
    <xf numFmtId="0" fontId="4" fillId="0" borderId="0" xfId="0" applyFont="1"/>
    <xf numFmtId="0" fontId="5" fillId="2" borderId="0" xfId="0" applyFont="1" applyFill="1"/>
    <xf numFmtId="0" fontId="1" fillId="3" borderId="1" xfId="0" applyFont="1" applyFill="1" applyBorder="1" applyAlignment="1">
      <alignment horizontal="center" vertical="top"/>
    </xf>
    <xf numFmtId="0" fontId="5" fillId="3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5" borderId="0" xfId="0" applyFont="1" applyFill="1"/>
    <xf numFmtId="0" fontId="9" fillId="5" borderId="0" xfId="0" applyFont="1" applyFill="1"/>
    <xf numFmtId="0" fontId="8" fillId="6" borderId="0" xfId="0" applyFont="1" applyFill="1"/>
    <xf numFmtId="0" fontId="8" fillId="7" borderId="0" xfId="0" applyFont="1" applyFill="1"/>
    <xf numFmtId="0" fontId="8" fillId="0" borderId="0" xfId="0" applyFont="1"/>
    <xf numFmtId="0" fontId="8" fillId="2" borderId="0" xfId="0" applyFont="1" applyFill="1"/>
    <xf numFmtId="0" fontId="8" fillId="3" borderId="0" xfId="0" applyFont="1" applyFill="1"/>
    <xf numFmtId="0" fontId="6" fillId="8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8"/>
  <sheetViews>
    <sheetView tabSelected="1" workbookViewId="0">
      <selection activeCell="B96" sqref="B96"/>
    </sheetView>
  </sheetViews>
  <sheetFormatPr baseColWidth="10" defaultColWidth="8.83203125" defaultRowHeight="15" x14ac:dyDescent="0.2"/>
  <cols>
    <col min="1" max="1" width="31.5" customWidth="1"/>
    <col min="2" max="2" width="31" customWidth="1"/>
    <col min="3" max="3" width="37.5" customWidth="1"/>
    <col min="4" max="4" width="33.1640625" customWidth="1"/>
    <col min="5" max="5" width="44.6640625" customWidth="1"/>
  </cols>
  <sheetData>
    <row r="1" spans="1:6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6" x14ac:dyDescent="0.2">
      <c r="A2" s="1">
        <v>1</v>
      </c>
      <c r="B2" t="s">
        <v>125</v>
      </c>
      <c r="C2" t="s">
        <v>125</v>
      </c>
      <c r="D2" t="s">
        <v>126</v>
      </c>
      <c r="E2" t="s">
        <v>126</v>
      </c>
    </row>
    <row r="3" spans="1:6" x14ac:dyDescent="0.2">
      <c r="A3" s="1">
        <v>2</v>
      </c>
      <c r="B3" t="s">
        <v>125</v>
      </c>
      <c r="C3" t="s">
        <v>125</v>
      </c>
      <c r="D3" t="s">
        <v>127</v>
      </c>
      <c r="E3" t="s">
        <v>127</v>
      </c>
    </row>
    <row r="4" spans="1:6" x14ac:dyDescent="0.2">
      <c r="A4" s="1">
        <v>3</v>
      </c>
      <c r="B4" t="s">
        <v>125</v>
      </c>
      <c r="C4" t="s">
        <v>125</v>
      </c>
      <c r="D4" s="3" t="s">
        <v>5</v>
      </c>
      <c r="E4" s="3" t="s">
        <v>5</v>
      </c>
    </row>
    <row r="5" spans="1:6" x14ac:dyDescent="0.2">
      <c r="A5" s="1">
        <v>4</v>
      </c>
      <c r="B5" t="s">
        <v>128</v>
      </c>
      <c r="C5" t="s">
        <v>128</v>
      </c>
      <c r="D5" s="3" t="s">
        <v>5</v>
      </c>
      <c r="E5" s="3" t="s">
        <v>5</v>
      </c>
    </row>
    <row r="6" spans="1:6" x14ac:dyDescent="0.2">
      <c r="A6" s="1">
        <v>5</v>
      </c>
      <c r="B6" s="3"/>
      <c r="C6" s="3"/>
      <c r="D6" s="3"/>
      <c r="E6" s="3"/>
      <c r="F6" s="4"/>
    </row>
    <row r="7" spans="1:6" x14ac:dyDescent="0.2">
      <c r="A7" s="1">
        <v>6</v>
      </c>
      <c r="B7" t="s">
        <v>128</v>
      </c>
      <c r="C7" t="s">
        <v>128</v>
      </c>
      <c r="D7" s="3" t="s">
        <v>5</v>
      </c>
      <c r="E7" s="3" t="s">
        <v>5</v>
      </c>
    </row>
    <row r="8" spans="1:6" x14ac:dyDescent="0.2">
      <c r="A8" s="1">
        <v>7</v>
      </c>
      <c r="B8" t="s">
        <v>125</v>
      </c>
      <c r="C8" t="s">
        <v>125</v>
      </c>
      <c r="D8" t="s">
        <v>129</v>
      </c>
      <c r="E8" t="s">
        <v>129</v>
      </c>
    </row>
    <row r="9" spans="1:6" x14ac:dyDescent="0.2">
      <c r="A9" s="1">
        <v>8</v>
      </c>
      <c r="B9" t="s">
        <v>128</v>
      </c>
      <c r="C9" t="s">
        <v>128</v>
      </c>
      <c r="D9" t="s">
        <v>130</v>
      </c>
      <c r="E9" t="s">
        <v>130</v>
      </c>
    </row>
    <row r="10" spans="1:6" x14ac:dyDescent="0.2">
      <c r="A10" s="1">
        <v>9</v>
      </c>
      <c r="B10" t="s">
        <v>125</v>
      </c>
      <c r="C10" t="s">
        <v>125</v>
      </c>
      <c r="D10" t="s">
        <v>130</v>
      </c>
      <c r="E10" t="s">
        <v>130</v>
      </c>
    </row>
    <row r="11" spans="1:6" x14ac:dyDescent="0.2">
      <c r="A11" s="1">
        <v>10</v>
      </c>
      <c r="B11" t="s">
        <v>125</v>
      </c>
      <c r="C11" t="s">
        <v>125</v>
      </c>
      <c r="D11" s="3" t="s">
        <v>5</v>
      </c>
      <c r="E11" s="3" t="s">
        <v>5</v>
      </c>
    </row>
    <row r="12" spans="1:6" x14ac:dyDescent="0.2">
      <c r="A12" s="1">
        <v>11</v>
      </c>
      <c r="B12" t="s">
        <v>128</v>
      </c>
      <c r="C12" t="s">
        <v>128</v>
      </c>
      <c r="D12" s="3" t="s">
        <v>5</v>
      </c>
      <c r="E12" s="3" t="s">
        <v>5</v>
      </c>
    </row>
    <row r="13" spans="1:6" x14ac:dyDescent="0.2">
      <c r="A13" s="1">
        <v>12</v>
      </c>
      <c r="B13" t="s">
        <v>125</v>
      </c>
      <c r="C13" t="s">
        <v>125</v>
      </c>
      <c r="D13" s="3" t="s">
        <v>5</v>
      </c>
      <c r="E13" s="3" t="s">
        <v>5</v>
      </c>
    </row>
    <row r="14" spans="1:6" x14ac:dyDescent="0.2">
      <c r="A14" s="1">
        <v>13</v>
      </c>
      <c r="B14" s="3" t="s">
        <v>5</v>
      </c>
      <c r="C14" s="3" t="s">
        <v>5</v>
      </c>
      <c r="D14" t="s">
        <v>131</v>
      </c>
      <c r="E14" t="s">
        <v>132</v>
      </c>
    </row>
    <row r="15" spans="1:6" x14ac:dyDescent="0.2">
      <c r="A15" s="1">
        <v>14</v>
      </c>
      <c r="B15" t="s">
        <v>125</v>
      </c>
      <c r="C15" t="s">
        <v>125</v>
      </c>
      <c r="D15" t="s">
        <v>130</v>
      </c>
      <c r="E15" t="s">
        <v>130</v>
      </c>
    </row>
    <row r="16" spans="1:6" x14ac:dyDescent="0.2">
      <c r="A16" s="1">
        <v>15</v>
      </c>
      <c r="B16" t="s">
        <v>125</v>
      </c>
      <c r="C16" t="s">
        <v>125</v>
      </c>
      <c r="D16" s="3" t="s">
        <v>5</v>
      </c>
      <c r="E16" s="3" t="s">
        <v>5</v>
      </c>
    </row>
    <row r="17" spans="1:5" x14ac:dyDescent="0.2">
      <c r="A17" s="1">
        <v>16</v>
      </c>
      <c r="B17" t="s">
        <v>128</v>
      </c>
      <c r="C17" t="s">
        <v>128</v>
      </c>
      <c r="D17" t="s">
        <v>126</v>
      </c>
      <c r="E17" t="s">
        <v>126</v>
      </c>
    </row>
    <row r="18" spans="1:5" x14ac:dyDescent="0.2">
      <c r="A18" s="1">
        <v>17</v>
      </c>
      <c r="B18" t="s">
        <v>128</v>
      </c>
      <c r="C18" t="s">
        <v>128</v>
      </c>
      <c r="D18" s="3" t="s">
        <v>5</v>
      </c>
      <c r="E18" s="3" t="s">
        <v>5</v>
      </c>
    </row>
    <row r="19" spans="1:5" x14ac:dyDescent="0.2">
      <c r="A19" s="1">
        <v>18</v>
      </c>
      <c r="B19" s="3" t="s">
        <v>5</v>
      </c>
      <c r="C19" s="3" t="s">
        <v>5</v>
      </c>
      <c r="D19" t="s">
        <v>127</v>
      </c>
      <c r="E19" t="s">
        <v>127</v>
      </c>
    </row>
    <row r="20" spans="1:5" x14ac:dyDescent="0.2">
      <c r="A20" s="1">
        <v>19</v>
      </c>
      <c r="B20" t="s">
        <v>125</v>
      </c>
      <c r="C20" t="s">
        <v>125</v>
      </c>
      <c r="D20" s="3" t="s">
        <v>5</v>
      </c>
      <c r="E20" s="3" t="s">
        <v>5</v>
      </c>
    </row>
    <row r="21" spans="1:5" x14ac:dyDescent="0.2">
      <c r="A21" s="1">
        <v>20</v>
      </c>
      <c r="B21" s="5" t="s">
        <v>133</v>
      </c>
      <c r="C21" s="5" t="s">
        <v>133</v>
      </c>
      <c r="D21" s="3" t="s">
        <v>5</v>
      </c>
      <c r="E21" s="3" t="s">
        <v>5</v>
      </c>
    </row>
    <row r="22" spans="1:5" x14ac:dyDescent="0.2">
      <c r="A22" s="1">
        <v>21</v>
      </c>
      <c r="B22" t="s">
        <v>128</v>
      </c>
      <c r="C22" t="s">
        <v>128</v>
      </c>
      <c r="D22" s="3" t="s">
        <v>5</v>
      </c>
      <c r="E22" s="3" t="s">
        <v>5</v>
      </c>
    </row>
    <row r="23" spans="1:5" x14ac:dyDescent="0.2">
      <c r="A23" s="1">
        <v>22</v>
      </c>
      <c r="B23" t="s">
        <v>128</v>
      </c>
      <c r="C23" t="s">
        <v>128</v>
      </c>
      <c r="D23" t="s">
        <v>134</v>
      </c>
      <c r="E23" t="s">
        <v>134</v>
      </c>
    </row>
    <row r="24" spans="1:5" x14ac:dyDescent="0.2">
      <c r="A24" s="1">
        <v>23</v>
      </c>
      <c r="B24" t="s">
        <v>128</v>
      </c>
      <c r="C24" t="s">
        <v>128</v>
      </c>
      <c r="D24" s="3" t="s">
        <v>5</v>
      </c>
      <c r="E24" s="3" t="s">
        <v>5</v>
      </c>
    </row>
    <row r="25" spans="1:5" x14ac:dyDescent="0.2">
      <c r="A25" s="1">
        <v>24</v>
      </c>
      <c r="B25" s="5" t="s">
        <v>133</v>
      </c>
      <c r="C25" s="5" t="s">
        <v>133</v>
      </c>
      <c r="D25" t="s">
        <v>127</v>
      </c>
      <c r="E25" t="s">
        <v>127</v>
      </c>
    </row>
    <row r="26" spans="1:5" x14ac:dyDescent="0.2">
      <c r="A26" s="1">
        <v>25</v>
      </c>
      <c r="B26" t="s">
        <v>128</v>
      </c>
      <c r="C26" t="s">
        <v>128</v>
      </c>
      <c r="D26" s="3" t="s">
        <v>5</v>
      </c>
      <c r="E26" s="3" t="s">
        <v>5</v>
      </c>
    </row>
    <row r="27" spans="1:5" x14ac:dyDescent="0.2">
      <c r="A27" s="1">
        <v>26</v>
      </c>
      <c r="B27" t="s">
        <v>128</v>
      </c>
      <c r="C27" t="s">
        <v>128</v>
      </c>
      <c r="D27" s="3" t="s">
        <v>5</v>
      </c>
      <c r="E27" s="3" t="s">
        <v>5</v>
      </c>
    </row>
    <row r="28" spans="1:5" x14ac:dyDescent="0.2">
      <c r="A28" s="1">
        <v>27</v>
      </c>
      <c r="B28" s="5" t="s">
        <v>128</v>
      </c>
      <c r="C28" s="5" t="s">
        <v>128</v>
      </c>
      <c r="D28" s="3" t="s">
        <v>5</v>
      </c>
      <c r="E28" s="3" t="s">
        <v>5</v>
      </c>
    </row>
    <row r="29" spans="1:5" x14ac:dyDescent="0.2">
      <c r="A29" s="1">
        <v>28</v>
      </c>
      <c r="B29" s="5" t="s">
        <v>6</v>
      </c>
      <c r="C29" s="5" t="s">
        <v>6</v>
      </c>
      <c r="D29" s="3" t="s">
        <v>5</v>
      </c>
      <c r="E29" s="3" t="s">
        <v>5</v>
      </c>
    </row>
    <row r="30" spans="1:5" x14ac:dyDescent="0.2">
      <c r="A30" s="1">
        <v>29</v>
      </c>
      <c r="B30" s="3"/>
      <c r="C30" s="3"/>
      <c r="D30" s="3"/>
      <c r="E30" s="3"/>
    </row>
    <row r="31" spans="1:5" x14ac:dyDescent="0.2">
      <c r="A31" s="1">
        <v>30</v>
      </c>
      <c r="B31" t="s">
        <v>6</v>
      </c>
      <c r="C31" t="s">
        <v>6</v>
      </c>
      <c r="D31" t="s">
        <v>130</v>
      </c>
      <c r="E31" t="s">
        <v>135</v>
      </c>
    </row>
    <row r="32" spans="1:5" x14ac:dyDescent="0.2">
      <c r="A32" s="1">
        <v>31</v>
      </c>
      <c r="B32" t="s">
        <v>128</v>
      </c>
      <c r="C32" t="s">
        <v>128</v>
      </c>
      <c r="D32" t="s">
        <v>136</v>
      </c>
      <c r="E32" t="s">
        <v>137</v>
      </c>
    </row>
    <row r="33" spans="1:5" x14ac:dyDescent="0.2">
      <c r="A33" s="1">
        <v>32</v>
      </c>
      <c r="B33" t="s">
        <v>125</v>
      </c>
      <c r="C33" t="s">
        <v>125</v>
      </c>
      <c r="D33" s="3" t="s">
        <v>5</v>
      </c>
      <c r="E33" s="3" t="s">
        <v>5</v>
      </c>
    </row>
    <row r="34" spans="1:5" x14ac:dyDescent="0.2">
      <c r="A34" s="1">
        <v>33</v>
      </c>
      <c r="B34" t="s">
        <v>125</v>
      </c>
      <c r="C34" t="s">
        <v>125</v>
      </c>
      <c r="D34" t="s">
        <v>130</v>
      </c>
      <c r="E34" t="s">
        <v>138</v>
      </c>
    </row>
    <row r="35" spans="1:5" x14ac:dyDescent="0.2">
      <c r="A35" s="1">
        <v>34</v>
      </c>
      <c r="B35" t="s">
        <v>125</v>
      </c>
      <c r="C35" t="s">
        <v>125</v>
      </c>
      <c r="D35" s="3" t="s">
        <v>5</v>
      </c>
      <c r="E35" s="3" t="s">
        <v>5</v>
      </c>
    </row>
    <row r="36" spans="1:5" x14ac:dyDescent="0.2">
      <c r="A36" s="1">
        <v>35</v>
      </c>
      <c r="B36" t="s">
        <v>125</v>
      </c>
      <c r="C36" t="s">
        <v>125</v>
      </c>
      <c r="D36" s="3" t="s">
        <v>5</v>
      </c>
      <c r="E36" s="3" t="s">
        <v>5</v>
      </c>
    </row>
    <row r="37" spans="1:5" x14ac:dyDescent="0.2">
      <c r="A37" s="1">
        <v>36</v>
      </c>
      <c r="B37" t="s">
        <v>128</v>
      </c>
      <c r="C37" t="s">
        <v>128</v>
      </c>
      <c r="D37" s="3" t="s">
        <v>5</v>
      </c>
      <c r="E37" s="3" t="s">
        <v>5</v>
      </c>
    </row>
    <row r="38" spans="1:5" x14ac:dyDescent="0.2">
      <c r="A38" s="1">
        <v>37</v>
      </c>
      <c r="B38" t="s">
        <v>125</v>
      </c>
      <c r="C38" t="s">
        <v>125</v>
      </c>
      <c r="D38" s="3" t="s">
        <v>5</v>
      </c>
      <c r="E38" s="3" t="s">
        <v>5</v>
      </c>
    </row>
    <row r="39" spans="1:5" x14ac:dyDescent="0.2">
      <c r="A39" s="1">
        <v>38</v>
      </c>
      <c r="B39" s="5" t="s">
        <v>133</v>
      </c>
      <c r="C39" s="5" t="s">
        <v>133</v>
      </c>
      <c r="D39" s="3" t="s">
        <v>5</v>
      </c>
      <c r="E39" s="3" t="s">
        <v>5</v>
      </c>
    </row>
    <row r="40" spans="1:5" x14ac:dyDescent="0.2">
      <c r="A40" s="1">
        <v>39</v>
      </c>
      <c r="B40" s="5" t="s">
        <v>128</v>
      </c>
      <c r="C40" s="5" t="s">
        <v>128</v>
      </c>
      <c r="D40" s="3" t="s">
        <v>5</v>
      </c>
      <c r="E40" s="3" t="s">
        <v>5</v>
      </c>
    </row>
    <row r="41" spans="1:5" x14ac:dyDescent="0.2">
      <c r="A41" s="1">
        <v>40</v>
      </c>
      <c r="B41" t="s">
        <v>6</v>
      </c>
      <c r="C41" t="s">
        <v>6</v>
      </c>
      <c r="D41" s="3" t="s">
        <v>5</v>
      </c>
      <c r="E41" s="3" t="s">
        <v>5</v>
      </c>
    </row>
    <row r="42" spans="1:5" x14ac:dyDescent="0.2">
      <c r="A42" s="1">
        <v>41</v>
      </c>
      <c r="B42" t="s">
        <v>6</v>
      </c>
      <c r="C42" t="s">
        <v>6</v>
      </c>
      <c r="D42" s="3" t="s">
        <v>5</v>
      </c>
      <c r="E42" s="3" t="s">
        <v>5</v>
      </c>
    </row>
    <row r="43" spans="1:5" x14ac:dyDescent="0.2">
      <c r="A43" s="1">
        <v>42</v>
      </c>
      <c r="B43" t="s">
        <v>128</v>
      </c>
      <c r="C43" t="s">
        <v>128</v>
      </c>
      <c r="D43" t="s">
        <v>130</v>
      </c>
      <c r="E43" t="s">
        <v>139</v>
      </c>
    </row>
    <row r="44" spans="1:5" x14ac:dyDescent="0.2">
      <c r="A44" s="1">
        <v>43</v>
      </c>
      <c r="B44" t="s">
        <v>128</v>
      </c>
      <c r="C44" t="s">
        <v>128</v>
      </c>
      <c r="D44" s="3" t="s">
        <v>5</v>
      </c>
      <c r="E44" s="3" t="s">
        <v>5</v>
      </c>
    </row>
    <row r="45" spans="1:5" x14ac:dyDescent="0.2">
      <c r="A45" s="1">
        <v>44</v>
      </c>
      <c r="B45" t="s">
        <v>125</v>
      </c>
      <c r="C45" t="s">
        <v>125</v>
      </c>
      <c r="D45" t="s">
        <v>136</v>
      </c>
      <c r="E45" t="s">
        <v>136</v>
      </c>
    </row>
    <row r="46" spans="1:5" x14ac:dyDescent="0.2">
      <c r="A46" s="1">
        <v>45</v>
      </c>
      <c r="B46" t="s">
        <v>128</v>
      </c>
      <c r="C46" t="s">
        <v>128</v>
      </c>
      <c r="D46" t="s">
        <v>140</v>
      </c>
      <c r="E46" t="s">
        <v>140</v>
      </c>
    </row>
    <row r="47" spans="1:5" x14ac:dyDescent="0.2">
      <c r="A47" s="1">
        <v>46</v>
      </c>
      <c r="B47" s="5" t="s">
        <v>125</v>
      </c>
      <c r="C47" s="5" t="s">
        <v>125</v>
      </c>
      <c r="D47" t="s">
        <v>136</v>
      </c>
      <c r="E47" t="s">
        <v>136</v>
      </c>
    </row>
    <row r="48" spans="1:5" x14ac:dyDescent="0.2">
      <c r="A48" s="1">
        <v>47</v>
      </c>
      <c r="B48" s="5" t="s">
        <v>125</v>
      </c>
      <c r="C48" s="5" t="s">
        <v>125</v>
      </c>
      <c r="D48" s="3" t="s">
        <v>5</v>
      </c>
      <c r="E48" s="3" t="s">
        <v>5</v>
      </c>
    </row>
    <row r="49" spans="1:5" x14ac:dyDescent="0.2">
      <c r="A49" s="1">
        <v>48</v>
      </c>
      <c r="B49" s="5" t="s">
        <v>125</v>
      </c>
      <c r="C49" s="5" t="s">
        <v>125</v>
      </c>
      <c r="D49" s="3" t="s">
        <v>5</v>
      </c>
      <c r="E49" s="3" t="s">
        <v>5</v>
      </c>
    </row>
    <row r="50" spans="1:5" x14ac:dyDescent="0.2">
      <c r="A50" s="1">
        <v>49</v>
      </c>
      <c r="B50" t="s">
        <v>128</v>
      </c>
      <c r="C50" t="s">
        <v>128</v>
      </c>
      <c r="D50" s="3" t="s">
        <v>5</v>
      </c>
      <c r="E50" s="3" t="s">
        <v>5</v>
      </c>
    </row>
    <row r="51" spans="1:5" x14ac:dyDescent="0.2">
      <c r="A51" s="1">
        <v>50</v>
      </c>
      <c r="B51" t="s">
        <v>128</v>
      </c>
      <c r="C51" t="s">
        <v>128</v>
      </c>
      <c r="D51" t="s">
        <v>140</v>
      </c>
      <c r="E51" t="s">
        <v>140</v>
      </c>
    </row>
    <row r="52" spans="1:5" x14ac:dyDescent="0.2">
      <c r="A52" s="1">
        <v>51</v>
      </c>
      <c r="B52" t="s">
        <v>128</v>
      </c>
      <c r="C52" t="s">
        <v>128</v>
      </c>
      <c r="D52" t="s">
        <v>140</v>
      </c>
      <c r="E52" t="s">
        <v>140</v>
      </c>
    </row>
    <row r="53" spans="1:5" x14ac:dyDescent="0.2">
      <c r="A53" s="1">
        <v>52</v>
      </c>
      <c r="B53" t="s">
        <v>125</v>
      </c>
      <c r="C53" t="s">
        <v>125</v>
      </c>
      <c r="D53" s="3" t="s">
        <v>5</v>
      </c>
      <c r="E53" s="3" t="s">
        <v>5</v>
      </c>
    </row>
    <row r="54" spans="1:5" x14ac:dyDescent="0.2">
      <c r="A54" s="1">
        <v>53</v>
      </c>
      <c r="B54" s="5" t="s">
        <v>125</v>
      </c>
      <c r="C54" s="5" t="s">
        <v>125</v>
      </c>
      <c r="D54" t="s">
        <v>140</v>
      </c>
      <c r="E54" t="s">
        <v>140</v>
      </c>
    </row>
    <row r="55" spans="1:5" x14ac:dyDescent="0.2">
      <c r="A55" s="1">
        <v>54</v>
      </c>
      <c r="B55" t="s">
        <v>128</v>
      </c>
      <c r="C55" t="s">
        <v>128</v>
      </c>
      <c r="D55" s="3" t="s">
        <v>5</v>
      </c>
      <c r="E55" s="3" t="s">
        <v>5</v>
      </c>
    </row>
    <row r="56" spans="1:5" x14ac:dyDescent="0.2">
      <c r="A56" s="1">
        <v>55</v>
      </c>
      <c r="B56" t="s">
        <v>128</v>
      </c>
      <c r="C56" t="s">
        <v>128</v>
      </c>
      <c r="D56" s="3" t="s">
        <v>5</v>
      </c>
      <c r="E56" s="3" t="s">
        <v>5</v>
      </c>
    </row>
    <row r="57" spans="1:5" x14ac:dyDescent="0.2">
      <c r="A57" s="1">
        <v>56</v>
      </c>
      <c r="B57" t="s">
        <v>125</v>
      </c>
      <c r="C57" t="s">
        <v>125</v>
      </c>
      <c r="D57" s="3" t="s">
        <v>5</v>
      </c>
      <c r="E57" s="3" t="s">
        <v>5</v>
      </c>
    </row>
    <row r="58" spans="1:5" x14ac:dyDescent="0.2">
      <c r="A58" s="1">
        <v>57</v>
      </c>
      <c r="B58" t="s">
        <v>125</v>
      </c>
      <c r="C58" t="s">
        <v>125</v>
      </c>
      <c r="D58" t="s">
        <v>127</v>
      </c>
      <c r="E58" t="s">
        <v>127</v>
      </c>
    </row>
    <row r="59" spans="1:5" x14ac:dyDescent="0.2">
      <c r="A59" s="1">
        <v>58</v>
      </c>
      <c r="B59" t="s">
        <v>125</v>
      </c>
      <c r="C59" t="s">
        <v>125</v>
      </c>
      <c r="D59" s="3" t="s">
        <v>5</v>
      </c>
      <c r="E59" s="3" t="s">
        <v>5</v>
      </c>
    </row>
    <row r="60" spans="1:5" x14ac:dyDescent="0.2">
      <c r="A60" s="1">
        <v>59</v>
      </c>
      <c r="B60" t="s">
        <v>125</v>
      </c>
      <c r="C60" t="s">
        <v>125</v>
      </c>
      <c r="D60" s="3" t="s">
        <v>5</v>
      </c>
      <c r="E60" s="3" t="s">
        <v>5</v>
      </c>
    </row>
    <row r="61" spans="1:5" x14ac:dyDescent="0.2">
      <c r="A61" s="1">
        <v>60</v>
      </c>
      <c r="B61" t="s">
        <v>128</v>
      </c>
      <c r="C61" t="s">
        <v>128</v>
      </c>
      <c r="D61" s="3" t="s">
        <v>5</v>
      </c>
      <c r="E61" s="3" t="s">
        <v>5</v>
      </c>
    </row>
    <row r="62" spans="1:5" x14ac:dyDescent="0.2">
      <c r="A62" s="1">
        <v>61</v>
      </c>
      <c r="B62" t="s">
        <v>125</v>
      </c>
      <c r="C62" t="s">
        <v>125</v>
      </c>
      <c r="D62" s="3" t="s">
        <v>5</v>
      </c>
      <c r="E62" s="3" t="s">
        <v>5</v>
      </c>
    </row>
    <row r="63" spans="1:5" x14ac:dyDescent="0.2">
      <c r="A63" s="1">
        <v>62</v>
      </c>
      <c r="B63" t="s">
        <v>125</v>
      </c>
      <c r="C63" t="s">
        <v>125</v>
      </c>
      <c r="D63" t="s">
        <v>141</v>
      </c>
      <c r="E63" t="s">
        <v>141</v>
      </c>
    </row>
    <row r="64" spans="1:5" x14ac:dyDescent="0.2">
      <c r="A64" s="1">
        <v>63</v>
      </c>
      <c r="B64" t="s">
        <v>125</v>
      </c>
      <c r="C64" t="s">
        <v>125</v>
      </c>
      <c r="D64" s="3" t="s">
        <v>5</v>
      </c>
      <c r="E64" s="3" t="s">
        <v>5</v>
      </c>
    </row>
    <row r="65" spans="1:5" x14ac:dyDescent="0.2">
      <c r="A65" s="1">
        <v>64</v>
      </c>
      <c r="B65" t="s">
        <v>125</v>
      </c>
      <c r="C65" t="s">
        <v>125</v>
      </c>
      <c r="D65" s="3" t="s">
        <v>5</v>
      </c>
      <c r="E65" s="3" t="s">
        <v>5</v>
      </c>
    </row>
    <row r="66" spans="1:5" x14ac:dyDescent="0.2">
      <c r="A66" s="1">
        <v>65</v>
      </c>
      <c r="B66" s="5" t="s">
        <v>128</v>
      </c>
      <c r="C66" s="3" t="s">
        <v>5</v>
      </c>
      <c r="D66" s="3" t="s">
        <v>5</v>
      </c>
      <c r="E66" s="3" t="s">
        <v>5</v>
      </c>
    </row>
    <row r="67" spans="1:5" x14ac:dyDescent="0.2">
      <c r="A67" s="1">
        <v>66</v>
      </c>
      <c r="B67" t="s">
        <v>125</v>
      </c>
      <c r="C67" t="s">
        <v>125</v>
      </c>
      <c r="D67" s="3" t="s">
        <v>5</v>
      </c>
      <c r="E67" s="3" t="s">
        <v>5</v>
      </c>
    </row>
    <row r="68" spans="1:5" x14ac:dyDescent="0.2">
      <c r="A68" s="1">
        <v>67</v>
      </c>
      <c r="B68" s="3" t="s">
        <v>5</v>
      </c>
      <c r="C68" s="3" t="s">
        <v>5</v>
      </c>
      <c r="D68" s="3" t="s">
        <v>5</v>
      </c>
      <c r="E68" t="s">
        <v>127</v>
      </c>
    </row>
    <row r="69" spans="1:5" x14ac:dyDescent="0.2">
      <c r="A69" s="1">
        <v>68</v>
      </c>
      <c r="B69" t="s">
        <v>125</v>
      </c>
      <c r="C69" t="s">
        <v>125</v>
      </c>
      <c r="D69" s="3" t="s">
        <v>5</v>
      </c>
      <c r="E69" s="3" t="s">
        <v>5</v>
      </c>
    </row>
    <row r="70" spans="1:5" x14ac:dyDescent="0.2">
      <c r="A70" s="1">
        <v>69</v>
      </c>
      <c r="B70" t="s">
        <v>128</v>
      </c>
      <c r="C70" t="s">
        <v>128</v>
      </c>
      <c r="D70" s="3" t="s">
        <v>5</v>
      </c>
      <c r="E70" s="3" t="s">
        <v>5</v>
      </c>
    </row>
    <row r="71" spans="1:5" x14ac:dyDescent="0.2">
      <c r="A71" s="1">
        <v>70</v>
      </c>
      <c r="B71" s="5" t="s">
        <v>133</v>
      </c>
      <c r="C71" s="5" t="s">
        <v>133</v>
      </c>
      <c r="D71" s="3" t="s">
        <v>5</v>
      </c>
      <c r="E71" s="3" t="s">
        <v>5</v>
      </c>
    </row>
    <row r="72" spans="1:5" x14ac:dyDescent="0.2">
      <c r="A72" s="1">
        <v>71</v>
      </c>
      <c r="B72" t="s">
        <v>125</v>
      </c>
      <c r="C72" t="s">
        <v>125</v>
      </c>
      <c r="D72" t="s">
        <v>130</v>
      </c>
      <c r="E72" t="s">
        <v>130</v>
      </c>
    </row>
    <row r="73" spans="1:5" x14ac:dyDescent="0.2">
      <c r="A73" s="1">
        <v>72</v>
      </c>
      <c r="B73" t="s">
        <v>125</v>
      </c>
      <c r="C73" t="s">
        <v>125</v>
      </c>
      <c r="D73" s="3" t="s">
        <v>5</v>
      </c>
      <c r="E73" s="3" t="s">
        <v>5</v>
      </c>
    </row>
    <row r="74" spans="1:5" x14ac:dyDescent="0.2">
      <c r="A74" s="1">
        <v>73</v>
      </c>
      <c r="B74" s="3" t="s">
        <v>5</v>
      </c>
      <c r="C74" t="s">
        <v>125</v>
      </c>
      <c r="D74" s="3" t="s">
        <v>5</v>
      </c>
      <c r="E74" s="3" t="s">
        <v>5</v>
      </c>
    </row>
    <row r="75" spans="1:5" x14ac:dyDescent="0.2">
      <c r="A75" s="1">
        <v>74</v>
      </c>
      <c r="B75" t="s">
        <v>128</v>
      </c>
      <c r="C75" t="s">
        <v>128</v>
      </c>
      <c r="D75" s="3" t="s">
        <v>5</v>
      </c>
      <c r="E75" s="3" t="s">
        <v>5</v>
      </c>
    </row>
    <row r="76" spans="1:5" x14ac:dyDescent="0.2">
      <c r="A76" s="1">
        <v>75</v>
      </c>
      <c r="B76" t="s">
        <v>128</v>
      </c>
      <c r="C76" t="s">
        <v>128</v>
      </c>
      <c r="D76" s="3" t="s">
        <v>5</v>
      </c>
      <c r="E76" s="3" t="s">
        <v>5</v>
      </c>
    </row>
    <row r="77" spans="1:5" x14ac:dyDescent="0.2">
      <c r="A77" s="1">
        <v>76</v>
      </c>
      <c r="B77" t="s">
        <v>6</v>
      </c>
      <c r="C77" t="s">
        <v>6</v>
      </c>
      <c r="D77" t="s">
        <v>136</v>
      </c>
      <c r="E77" t="s">
        <v>136</v>
      </c>
    </row>
    <row r="78" spans="1:5" x14ac:dyDescent="0.2">
      <c r="A78" s="1">
        <v>77</v>
      </c>
      <c r="B78" t="s">
        <v>125</v>
      </c>
      <c r="C78" t="s">
        <v>125</v>
      </c>
      <c r="D78" s="3" t="s">
        <v>5</v>
      </c>
      <c r="E78" s="3" t="s">
        <v>5</v>
      </c>
    </row>
    <row r="79" spans="1:5" x14ac:dyDescent="0.2">
      <c r="A79" s="1">
        <v>78</v>
      </c>
      <c r="B79" t="s">
        <v>125</v>
      </c>
      <c r="C79" t="s">
        <v>125</v>
      </c>
      <c r="D79" s="3" t="s">
        <v>5</v>
      </c>
      <c r="E79" s="3" t="s">
        <v>5</v>
      </c>
    </row>
    <row r="80" spans="1:5" x14ac:dyDescent="0.2">
      <c r="A80" s="1">
        <v>79</v>
      </c>
      <c r="B80" t="s">
        <v>128</v>
      </c>
      <c r="C80" t="s">
        <v>128</v>
      </c>
      <c r="D80" t="s">
        <v>127</v>
      </c>
      <c r="E80" t="s">
        <v>127</v>
      </c>
    </row>
    <row r="81" spans="1:5" x14ac:dyDescent="0.2">
      <c r="A81" s="1">
        <v>80</v>
      </c>
      <c r="B81" s="5" t="s">
        <v>125</v>
      </c>
      <c r="C81" s="5" t="s">
        <v>125</v>
      </c>
      <c r="D81" t="s">
        <v>126</v>
      </c>
      <c r="E81" t="s">
        <v>126</v>
      </c>
    </row>
    <row r="82" spans="1:5" x14ac:dyDescent="0.2">
      <c r="A82" s="1">
        <v>81</v>
      </c>
      <c r="B82" t="s">
        <v>125</v>
      </c>
      <c r="C82" t="s">
        <v>125</v>
      </c>
      <c r="D82" s="3" t="s">
        <v>5</v>
      </c>
      <c r="E82" s="3" t="s">
        <v>5</v>
      </c>
    </row>
    <row r="83" spans="1:5" x14ac:dyDescent="0.2">
      <c r="A83" s="1">
        <v>82</v>
      </c>
      <c r="B83" s="5" t="s">
        <v>125</v>
      </c>
      <c r="C83" s="5" t="s">
        <v>125</v>
      </c>
      <c r="D83" t="s">
        <v>127</v>
      </c>
      <c r="E83" t="s">
        <v>142</v>
      </c>
    </row>
    <row r="84" spans="1:5" x14ac:dyDescent="0.2">
      <c r="A84" s="1">
        <v>83</v>
      </c>
      <c r="B84" s="3"/>
      <c r="C84" s="3"/>
      <c r="D84" s="3"/>
      <c r="E84" s="3"/>
    </row>
    <row r="85" spans="1:5" x14ac:dyDescent="0.2">
      <c r="A85" s="1">
        <v>84</v>
      </c>
      <c r="B85" t="s">
        <v>128</v>
      </c>
      <c r="C85" t="s">
        <v>128</v>
      </c>
      <c r="D85" t="s">
        <v>127</v>
      </c>
      <c r="E85" t="s">
        <v>127</v>
      </c>
    </row>
    <row r="86" spans="1:5" x14ac:dyDescent="0.2">
      <c r="A86" s="1">
        <v>85</v>
      </c>
      <c r="B86" t="s">
        <v>125</v>
      </c>
      <c r="C86" t="s">
        <v>125</v>
      </c>
      <c r="D86" t="s">
        <v>130</v>
      </c>
      <c r="E86" t="s">
        <v>138</v>
      </c>
    </row>
    <row r="87" spans="1:5" x14ac:dyDescent="0.2">
      <c r="A87" s="1">
        <v>86</v>
      </c>
      <c r="B87" t="s">
        <v>128</v>
      </c>
      <c r="C87" t="s">
        <v>128</v>
      </c>
      <c r="D87" s="3" t="s">
        <v>5</v>
      </c>
      <c r="E87" s="3" t="s">
        <v>5</v>
      </c>
    </row>
    <row r="88" spans="1:5" x14ac:dyDescent="0.2">
      <c r="A88" s="1">
        <v>87</v>
      </c>
      <c r="B88" t="s">
        <v>128</v>
      </c>
      <c r="C88" t="s">
        <v>133</v>
      </c>
      <c r="D88" s="3" t="s">
        <v>5</v>
      </c>
      <c r="E88" s="3" t="s">
        <v>5</v>
      </c>
    </row>
    <row r="89" spans="1:5" x14ac:dyDescent="0.2">
      <c r="A89" s="1">
        <v>88</v>
      </c>
      <c r="B89" s="5" t="s">
        <v>125</v>
      </c>
      <c r="C89" s="5" t="s">
        <v>125</v>
      </c>
      <c r="D89" s="3" t="s">
        <v>5</v>
      </c>
      <c r="E89" s="3" t="s">
        <v>5</v>
      </c>
    </row>
    <row r="90" spans="1:5" x14ac:dyDescent="0.2">
      <c r="A90" s="1">
        <v>89</v>
      </c>
      <c r="B90" t="s">
        <v>125</v>
      </c>
      <c r="C90" t="s">
        <v>125</v>
      </c>
      <c r="D90" s="3" t="s">
        <v>5</v>
      </c>
      <c r="E90" s="3" t="s">
        <v>5</v>
      </c>
    </row>
    <row r="91" spans="1:5" x14ac:dyDescent="0.2">
      <c r="A91" s="1">
        <v>90</v>
      </c>
      <c r="B91" s="5" t="s">
        <v>128</v>
      </c>
      <c r="C91" s="5" t="s">
        <v>128</v>
      </c>
      <c r="D91" s="3" t="s">
        <v>5</v>
      </c>
      <c r="E91" s="3" t="s">
        <v>5</v>
      </c>
    </row>
    <row r="94" spans="1:5" x14ac:dyDescent="0.2">
      <c r="A94" s="11" t="s">
        <v>118</v>
      </c>
      <c r="B94" s="12">
        <f>COUNTIF(B2:B91,"*") - COUNTIF(B2:B91,"False*")</f>
        <v>83</v>
      </c>
      <c r="C94" s="12">
        <f t="shared" ref="C94:E94" si="0">COUNTIF(C2:C91,"*") - COUNTIF(C2:C91,"False*")</f>
        <v>83</v>
      </c>
      <c r="D94" s="12">
        <f t="shared" si="0"/>
        <v>30</v>
      </c>
      <c r="E94" s="12">
        <f t="shared" si="0"/>
        <v>31</v>
      </c>
    </row>
    <row r="95" spans="1:5" x14ac:dyDescent="0.2">
      <c r="A95" s="13" t="s">
        <v>119</v>
      </c>
      <c r="B95" s="14">
        <f>COUNTIF(B2:B91, "*toys_no:*")</f>
        <v>78</v>
      </c>
      <c r="C95" s="14">
        <f t="shared" ref="C95:E95" si="1">COUNTIF(C2:C91, "*toys_no:*")</f>
        <v>78</v>
      </c>
      <c r="D95" s="14">
        <f t="shared" si="1"/>
        <v>30</v>
      </c>
      <c r="E95" s="14">
        <f t="shared" si="1"/>
        <v>31</v>
      </c>
    </row>
    <row r="96" spans="1:5" x14ac:dyDescent="0.2">
      <c r="A96" s="13" t="s">
        <v>120</v>
      </c>
      <c r="B96" s="14">
        <f>COUNTIF(B2:B91, "*toys:*")</f>
        <v>79</v>
      </c>
      <c r="C96" s="14">
        <f t="shared" ref="C96:E96" si="2">COUNTIF(C2:C91, "*toys:*")</f>
        <v>78</v>
      </c>
      <c r="D96" s="14">
        <f t="shared" si="2"/>
        <v>0</v>
      </c>
      <c r="E96" s="14">
        <f t="shared" si="2"/>
        <v>0</v>
      </c>
    </row>
    <row r="97" spans="1:5" x14ac:dyDescent="0.2">
      <c r="A97" s="15" t="s">
        <v>121</v>
      </c>
      <c r="B97" s="15">
        <f>COUNTIF(B2:B91, "*book*")</f>
        <v>0</v>
      </c>
      <c r="C97" s="15">
        <f t="shared" ref="C97:E97" si="3">COUNTIF(C2:C91, "*book*")</f>
        <v>0</v>
      </c>
      <c r="D97" s="15">
        <f t="shared" si="3"/>
        <v>29</v>
      </c>
      <c r="E97" s="15">
        <f t="shared" si="3"/>
        <v>30</v>
      </c>
    </row>
    <row r="98" spans="1:5" x14ac:dyDescent="0.2">
      <c r="A98" s="16" t="s">
        <v>122</v>
      </c>
      <c r="B98" s="16">
        <f>COUNTIF(B2:B91, "*puzzle*")</f>
        <v>0</v>
      </c>
      <c r="C98" s="16">
        <f t="shared" ref="C98:E98" si="4">COUNTIF(C2:C91, "*puzzle*")</f>
        <v>0</v>
      </c>
      <c r="D98" s="16">
        <f t="shared" si="4"/>
        <v>28</v>
      </c>
      <c r="E98" s="16">
        <f t="shared" si="4"/>
        <v>28</v>
      </c>
    </row>
    <row r="99" spans="1:5" x14ac:dyDescent="0.2">
      <c r="A99" s="17"/>
      <c r="B99" s="17"/>
      <c r="C99" s="17"/>
    </row>
    <row r="100" spans="1:5" x14ac:dyDescent="0.2">
      <c r="A100" s="18" t="s">
        <v>123</v>
      </c>
      <c r="B100" s="17" cm="1">
        <f t="array" ref="B100">(GetColorCount(B2:B91, A100))</f>
        <v>7</v>
      </c>
      <c r="C100" s="17" cm="1">
        <f t="array" ref="C100">(GetColorCount(C2:C91, A100))</f>
        <v>7</v>
      </c>
      <c r="D100" s="17" cm="1">
        <f t="array" ref="D100">(GetColorCount(D2:D91, A100))</f>
        <v>60</v>
      </c>
      <c r="E100" s="17" cm="1">
        <f t="array" ref="E100">(GetColorCount(E2:E91, A100))</f>
        <v>59</v>
      </c>
    </row>
    <row r="101" spans="1:5" x14ac:dyDescent="0.2">
      <c r="A101" s="19" t="s">
        <v>124</v>
      </c>
      <c r="B101" s="17" cm="1">
        <f t="array" ref="B101">(GetColorCount(B2:B91, A101))</f>
        <v>16</v>
      </c>
      <c r="C101" s="17" cm="1">
        <f t="array" ref="C101">(GetColorCount(C2:C91, A101))</f>
        <v>15</v>
      </c>
      <c r="D101" s="17" cm="1">
        <f t="array" ref="D101">(GetColorCount(D2:D91, A101))</f>
        <v>0</v>
      </c>
      <c r="E101" s="17" cm="1">
        <f t="array" ref="E101">(GetColorCount(E2:E91, A101))</f>
        <v>0</v>
      </c>
    </row>
    <row r="102" spans="1:5" x14ac:dyDescent="0.2">
      <c r="A102" s="17"/>
      <c r="B102" s="17"/>
    </row>
    <row r="103" spans="1:5" x14ac:dyDescent="0.2">
      <c r="B103" s="17"/>
    </row>
    <row r="104" spans="1:5" x14ac:dyDescent="0.2">
      <c r="A104" s="20" t="s">
        <v>143</v>
      </c>
    </row>
    <row r="105" spans="1:5" x14ac:dyDescent="0.2">
      <c r="A105" s="21" t="s">
        <v>144</v>
      </c>
      <c r="B105" t="s">
        <v>148</v>
      </c>
      <c r="C105" s="17"/>
    </row>
    <row r="106" spans="1:5" x14ac:dyDescent="0.2">
      <c r="A106" s="21" t="s">
        <v>145</v>
      </c>
      <c r="B106" t="s">
        <v>149</v>
      </c>
    </row>
    <row r="107" spans="1:5" x14ac:dyDescent="0.2">
      <c r="A107" s="21" t="s">
        <v>146</v>
      </c>
      <c r="B107" t="s">
        <v>150</v>
      </c>
    </row>
    <row r="108" spans="1:5" x14ac:dyDescent="0.2">
      <c r="A108" s="21" t="s">
        <v>147</v>
      </c>
      <c r="B108" t="s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1"/>
  <sheetViews>
    <sheetView workbookViewId="0">
      <selection activeCell="F2" sqref="F2"/>
    </sheetView>
  </sheetViews>
  <sheetFormatPr baseColWidth="10" defaultColWidth="8.83203125" defaultRowHeight="15" x14ac:dyDescent="0.2"/>
  <cols>
    <col min="1" max="1" width="30.6640625" customWidth="1"/>
    <col min="4" max="5" width="14.83203125" customWidth="1"/>
    <col min="6" max="6" width="27.6640625" customWidth="1"/>
  </cols>
  <sheetData>
    <row r="1" spans="1:6" x14ac:dyDescent="0.2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s="1" t="s">
        <v>12</v>
      </c>
      <c r="B2">
        <v>38</v>
      </c>
      <c r="C2">
        <v>41</v>
      </c>
      <c r="D2">
        <v>49</v>
      </c>
      <c r="E2">
        <v>78</v>
      </c>
      <c r="F2">
        <v>58</v>
      </c>
    </row>
    <row r="3" spans="1:6" x14ac:dyDescent="0.2">
      <c r="A3" s="1" t="s">
        <v>13</v>
      </c>
      <c r="B3">
        <v>23</v>
      </c>
      <c r="C3">
        <v>30</v>
      </c>
      <c r="D3">
        <v>28</v>
      </c>
      <c r="E3">
        <v>78</v>
      </c>
      <c r="F3">
        <v>36</v>
      </c>
    </row>
    <row r="4" spans="1:6" x14ac:dyDescent="0.2">
      <c r="A4" s="1" t="s">
        <v>14</v>
      </c>
      <c r="B4">
        <v>40</v>
      </c>
      <c r="C4">
        <v>50</v>
      </c>
      <c r="D4">
        <v>58</v>
      </c>
      <c r="E4">
        <v>79</v>
      </c>
      <c r="F4">
        <v>62</v>
      </c>
    </row>
    <row r="5" spans="1:6" x14ac:dyDescent="0.2">
      <c r="A5" s="1" t="s">
        <v>15</v>
      </c>
      <c r="B5">
        <v>21</v>
      </c>
      <c r="C5">
        <v>31</v>
      </c>
      <c r="D5">
        <v>25</v>
      </c>
      <c r="E5">
        <v>78</v>
      </c>
      <c r="F5">
        <v>36</v>
      </c>
    </row>
    <row r="6" spans="1:6" x14ac:dyDescent="0.2">
      <c r="A6" s="1" t="s">
        <v>16</v>
      </c>
      <c r="B6">
        <v>12</v>
      </c>
      <c r="C6">
        <v>13</v>
      </c>
      <c r="D6">
        <v>24</v>
      </c>
      <c r="E6">
        <v>30</v>
      </c>
      <c r="F6">
        <v>25</v>
      </c>
    </row>
    <row r="7" spans="1:6" x14ac:dyDescent="0.2">
      <c r="A7" s="1" t="s">
        <v>17</v>
      </c>
      <c r="B7">
        <v>11</v>
      </c>
      <c r="C7">
        <v>12</v>
      </c>
      <c r="D7">
        <v>24</v>
      </c>
      <c r="E7">
        <v>31</v>
      </c>
      <c r="F7">
        <v>25</v>
      </c>
    </row>
    <row r="8" spans="1:6" x14ac:dyDescent="0.2">
      <c r="A8" s="1" t="s">
        <v>18</v>
      </c>
      <c r="B8">
        <v>12</v>
      </c>
      <c r="C8">
        <v>14</v>
      </c>
      <c r="D8">
        <v>25</v>
      </c>
      <c r="E8">
        <v>29</v>
      </c>
      <c r="F8">
        <v>26</v>
      </c>
    </row>
    <row r="9" spans="1:6" x14ac:dyDescent="0.2">
      <c r="A9" s="1" t="s">
        <v>19</v>
      </c>
      <c r="B9">
        <v>10</v>
      </c>
      <c r="C9">
        <v>11</v>
      </c>
      <c r="D9">
        <v>21</v>
      </c>
      <c r="E9">
        <v>30</v>
      </c>
      <c r="F9">
        <v>23</v>
      </c>
    </row>
    <row r="10" spans="1:6" x14ac:dyDescent="0.2">
      <c r="A10" s="1" t="s">
        <v>20</v>
      </c>
      <c r="B10">
        <v>12</v>
      </c>
      <c r="C10">
        <v>12</v>
      </c>
      <c r="D10">
        <v>21</v>
      </c>
      <c r="E10">
        <v>28</v>
      </c>
      <c r="F10">
        <v>22</v>
      </c>
    </row>
    <row r="11" spans="1:6" x14ac:dyDescent="0.2">
      <c r="A11" s="1" t="s">
        <v>21</v>
      </c>
      <c r="B11">
        <v>8</v>
      </c>
      <c r="C11">
        <v>10</v>
      </c>
      <c r="D11">
        <v>22</v>
      </c>
      <c r="E11">
        <v>28</v>
      </c>
      <c r="F11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W97"/>
  <sheetViews>
    <sheetView topLeftCell="A72" workbookViewId="0">
      <selection activeCell="A98" sqref="A98"/>
    </sheetView>
  </sheetViews>
  <sheetFormatPr baseColWidth="10" defaultColWidth="8.83203125" defaultRowHeight="15" x14ac:dyDescent="0.2"/>
  <cols>
    <col min="1" max="1" width="32.5" customWidth="1"/>
    <col min="5" max="5" width="18.6640625" customWidth="1"/>
    <col min="6" max="6" width="26.83203125" customWidth="1"/>
    <col min="7" max="7" width="29.5" customWidth="1"/>
    <col min="22" max="22" width="19.5" customWidth="1"/>
    <col min="23" max="23" width="41.1640625" style="7" customWidth="1"/>
  </cols>
  <sheetData>
    <row r="1" spans="1:23" x14ac:dyDescent="0.2">
      <c r="A1" s="1" t="s">
        <v>41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6" t="s">
        <v>46</v>
      </c>
    </row>
    <row r="2" spans="1:23" x14ac:dyDescent="0.2">
      <c r="A2" s="1">
        <v>1</v>
      </c>
      <c r="B2">
        <v>377</v>
      </c>
      <c r="C2">
        <v>347</v>
      </c>
      <c r="D2">
        <v>46</v>
      </c>
      <c r="E2">
        <v>378</v>
      </c>
      <c r="F2">
        <v>348</v>
      </c>
      <c r="G2">
        <v>47</v>
      </c>
      <c r="H2">
        <v>326.81697612732103</v>
      </c>
      <c r="I2">
        <v>355.0662824207493</v>
      </c>
      <c r="J2">
        <v>2384.086956521739</v>
      </c>
      <c r="K2">
        <v>24.041429852288601</v>
      </c>
      <c r="L2">
        <v>107.48154130412701</v>
      </c>
      <c r="M2">
        <v>2796.348649587228</v>
      </c>
      <c r="N2">
        <v>164</v>
      </c>
      <c r="O2">
        <v>200</v>
      </c>
      <c r="P2">
        <v>172</v>
      </c>
      <c r="Q2">
        <v>395</v>
      </c>
      <c r="R2">
        <v>1033</v>
      </c>
      <c r="S2">
        <v>12756</v>
      </c>
      <c r="T2">
        <v>0</v>
      </c>
      <c r="U2">
        <v>1</v>
      </c>
      <c r="V2">
        <v>31</v>
      </c>
      <c r="W2" s="7" t="s">
        <v>47</v>
      </c>
    </row>
    <row r="3" spans="1:23" x14ac:dyDescent="0.2">
      <c r="A3" s="1">
        <v>2</v>
      </c>
      <c r="B3">
        <v>112</v>
      </c>
      <c r="C3">
        <v>119</v>
      </c>
      <c r="D3">
        <v>113</v>
      </c>
      <c r="E3">
        <v>113</v>
      </c>
      <c r="F3">
        <v>120</v>
      </c>
      <c r="G3">
        <v>114</v>
      </c>
      <c r="H3">
        <v>990.00892857142856</v>
      </c>
      <c r="I3">
        <v>931.77310924369749</v>
      </c>
      <c r="J3">
        <v>981.24778761061953</v>
      </c>
      <c r="K3">
        <v>1327.0603596362</v>
      </c>
      <c r="L3">
        <v>1270.802678657989</v>
      </c>
      <c r="M3">
        <v>1324.2750006470751</v>
      </c>
      <c r="N3">
        <v>197</v>
      </c>
      <c r="O3">
        <v>181</v>
      </c>
      <c r="P3">
        <v>180</v>
      </c>
      <c r="Q3">
        <v>10145</v>
      </c>
      <c r="R3">
        <v>10145</v>
      </c>
      <c r="S3">
        <v>10145</v>
      </c>
      <c r="T3">
        <v>27</v>
      </c>
      <c r="U3">
        <v>28</v>
      </c>
      <c r="V3">
        <v>28</v>
      </c>
      <c r="W3" s="7" t="s">
        <v>48</v>
      </c>
    </row>
    <row r="4" spans="1:23" x14ac:dyDescent="0.2">
      <c r="A4" s="1">
        <v>3</v>
      </c>
      <c r="B4">
        <v>500</v>
      </c>
      <c r="C4">
        <v>491</v>
      </c>
      <c r="D4">
        <v>493</v>
      </c>
      <c r="E4">
        <v>501</v>
      </c>
      <c r="F4">
        <v>492</v>
      </c>
      <c r="G4">
        <v>494</v>
      </c>
      <c r="H4">
        <v>264.37</v>
      </c>
      <c r="I4">
        <v>269.21588594704679</v>
      </c>
      <c r="J4">
        <v>268.12170385395541</v>
      </c>
      <c r="K4">
        <v>15.77068575104191</v>
      </c>
      <c r="L4">
        <v>37.424239555471701</v>
      </c>
      <c r="M4">
        <v>34.65394244775451</v>
      </c>
      <c r="N4">
        <v>158</v>
      </c>
      <c r="O4">
        <v>222</v>
      </c>
      <c r="P4">
        <v>153</v>
      </c>
      <c r="Q4">
        <v>363</v>
      </c>
      <c r="R4">
        <v>759</v>
      </c>
      <c r="S4">
        <v>767</v>
      </c>
      <c r="T4">
        <v>0</v>
      </c>
      <c r="U4">
        <v>0</v>
      </c>
      <c r="V4">
        <v>0</v>
      </c>
      <c r="W4" s="7" t="s">
        <v>49</v>
      </c>
    </row>
    <row r="5" spans="1:23" x14ac:dyDescent="0.2">
      <c r="A5" s="1">
        <v>4</v>
      </c>
      <c r="B5">
        <v>433</v>
      </c>
      <c r="C5">
        <v>422</v>
      </c>
      <c r="D5">
        <v>422</v>
      </c>
      <c r="E5">
        <v>434</v>
      </c>
      <c r="F5">
        <v>423</v>
      </c>
      <c r="G5">
        <v>423</v>
      </c>
      <c r="H5">
        <v>345.28868360277141</v>
      </c>
      <c r="I5">
        <v>353.42180094786733</v>
      </c>
      <c r="J5">
        <v>352.61611374407579</v>
      </c>
      <c r="K5">
        <v>36.263213254365724</v>
      </c>
      <c r="L5">
        <v>95.25533780881743</v>
      </c>
      <c r="M5">
        <v>74.089145290955258</v>
      </c>
      <c r="N5">
        <v>162</v>
      </c>
      <c r="O5">
        <v>169</v>
      </c>
      <c r="P5">
        <v>176</v>
      </c>
      <c r="Q5">
        <v>591</v>
      </c>
      <c r="R5">
        <v>1747</v>
      </c>
      <c r="S5">
        <v>1072</v>
      </c>
      <c r="T5">
        <v>0</v>
      </c>
      <c r="U5">
        <v>2</v>
      </c>
      <c r="V5">
        <v>1</v>
      </c>
      <c r="W5" s="7" t="s">
        <v>50</v>
      </c>
    </row>
    <row r="6" spans="1:23" x14ac:dyDescent="0.2">
      <c r="A6" s="2">
        <v>5</v>
      </c>
      <c r="B6" s="3"/>
      <c r="C6" s="3"/>
      <c r="D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8" t="s">
        <v>51</v>
      </c>
    </row>
    <row r="7" spans="1:23" x14ac:dyDescent="0.2">
      <c r="A7" s="1">
        <v>6</v>
      </c>
      <c r="B7">
        <v>365</v>
      </c>
      <c r="C7">
        <v>366</v>
      </c>
      <c r="D7">
        <v>355</v>
      </c>
      <c r="E7">
        <v>366</v>
      </c>
      <c r="F7">
        <v>367</v>
      </c>
      <c r="G7">
        <v>356</v>
      </c>
      <c r="H7">
        <v>410.2821917808219</v>
      </c>
      <c r="I7">
        <v>409.15846994535519</v>
      </c>
      <c r="J7">
        <v>420.68732394366202</v>
      </c>
      <c r="K7">
        <v>36.202495749320967</v>
      </c>
      <c r="L7">
        <v>78.14042169969359</v>
      </c>
      <c r="M7">
        <v>90.219416981299602</v>
      </c>
      <c r="N7">
        <v>170</v>
      </c>
      <c r="O7">
        <v>173</v>
      </c>
      <c r="P7">
        <v>171</v>
      </c>
      <c r="Q7">
        <v>517</v>
      </c>
      <c r="R7">
        <v>1072</v>
      </c>
      <c r="S7">
        <v>1060</v>
      </c>
      <c r="T7">
        <v>0</v>
      </c>
      <c r="U7">
        <v>1</v>
      </c>
      <c r="V7">
        <v>1</v>
      </c>
      <c r="W7" s="7" t="s">
        <v>52</v>
      </c>
    </row>
    <row r="8" spans="1:23" x14ac:dyDescent="0.2">
      <c r="A8" s="1">
        <v>7</v>
      </c>
      <c r="B8">
        <v>327</v>
      </c>
      <c r="C8">
        <v>328</v>
      </c>
      <c r="D8">
        <v>329</v>
      </c>
      <c r="E8">
        <v>328</v>
      </c>
      <c r="F8">
        <v>329</v>
      </c>
      <c r="G8">
        <v>330</v>
      </c>
      <c r="H8">
        <v>385.63914373088687</v>
      </c>
      <c r="I8">
        <v>384.47256097560978</v>
      </c>
      <c r="J8">
        <v>383.29483282674772</v>
      </c>
      <c r="K8">
        <v>39.553777128791687</v>
      </c>
      <c r="L8">
        <v>40.974287195244173</v>
      </c>
      <c r="M8">
        <v>38.889869566845249</v>
      </c>
      <c r="N8">
        <v>153</v>
      </c>
      <c r="O8">
        <v>156</v>
      </c>
      <c r="P8">
        <v>152</v>
      </c>
      <c r="Q8">
        <v>791</v>
      </c>
      <c r="R8">
        <v>773</v>
      </c>
      <c r="S8">
        <v>564</v>
      </c>
      <c r="T8">
        <v>0</v>
      </c>
      <c r="U8">
        <v>0</v>
      </c>
      <c r="V8">
        <v>0</v>
      </c>
      <c r="W8" s="7" t="s">
        <v>53</v>
      </c>
    </row>
    <row r="9" spans="1:23" x14ac:dyDescent="0.2">
      <c r="A9" s="1">
        <v>8</v>
      </c>
      <c r="B9">
        <v>444</v>
      </c>
      <c r="C9">
        <v>386</v>
      </c>
      <c r="D9">
        <v>416</v>
      </c>
      <c r="E9">
        <v>445</v>
      </c>
      <c r="F9">
        <v>387</v>
      </c>
      <c r="G9">
        <v>417</v>
      </c>
      <c r="H9">
        <v>205.6396396396396</v>
      </c>
      <c r="I9">
        <v>236.5414507772021</v>
      </c>
      <c r="J9">
        <v>219.4807692307692</v>
      </c>
      <c r="K9">
        <v>21.92869330210004</v>
      </c>
      <c r="L9">
        <v>79.062392537374777</v>
      </c>
      <c r="M9">
        <v>52.596116173300203</v>
      </c>
      <c r="N9">
        <v>160</v>
      </c>
      <c r="O9">
        <v>160</v>
      </c>
      <c r="P9">
        <v>164</v>
      </c>
      <c r="Q9">
        <v>272</v>
      </c>
      <c r="R9">
        <v>738</v>
      </c>
      <c r="S9">
        <v>581</v>
      </c>
      <c r="T9">
        <v>0</v>
      </c>
      <c r="U9">
        <v>0</v>
      </c>
      <c r="V9">
        <v>0</v>
      </c>
      <c r="W9" s="7" t="s">
        <v>54</v>
      </c>
    </row>
    <row r="10" spans="1:23" x14ac:dyDescent="0.2">
      <c r="A10" s="1">
        <v>9</v>
      </c>
      <c r="B10">
        <v>380</v>
      </c>
      <c r="C10">
        <v>384</v>
      </c>
      <c r="D10">
        <v>385</v>
      </c>
      <c r="E10">
        <v>381</v>
      </c>
      <c r="F10">
        <v>385</v>
      </c>
      <c r="G10">
        <v>386</v>
      </c>
      <c r="H10">
        <v>395.13947368421049</v>
      </c>
      <c r="I10">
        <v>391.02083333333331</v>
      </c>
      <c r="J10">
        <v>390.00779220779219</v>
      </c>
      <c r="K10">
        <v>105.7902241456564</v>
      </c>
      <c r="L10">
        <v>38.264499063737667</v>
      </c>
      <c r="M10">
        <v>66.748458483748607</v>
      </c>
      <c r="N10">
        <v>154</v>
      </c>
      <c r="O10">
        <v>194</v>
      </c>
      <c r="P10">
        <v>171</v>
      </c>
      <c r="Q10">
        <v>1373</v>
      </c>
      <c r="R10">
        <v>481</v>
      </c>
      <c r="S10">
        <v>1159</v>
      </c>
      <c r="T10">
        <v>2</v>
      </c>
      <c r="U10">
        <v>0</v>
      </c>
      <c r="V10">
        <v>1</v>
      </c>
      <c r="W10" s="7" t="s">
        <v>55</v>
      </c>
    </row>
    <row r="11" spans="1:23" x14ac:dyDescent="0.2">
      <c r="A11" s="1">
        <v>10</v>
      </c>
      <c r="B11">
        <v>426</v>
      </c>
      <c r="C11">
        <v>406</v>
      </c>
      <c r="D11">
        <v>416</v>
      </c>
      <c r="E11">
        <v>427</v>
      </c>
      <c r="F11">
        <v>407</v>
      </c>
      <c r="G11">
        <v>417</v>
      </c>
      <c r="H11">
        <v>351.25821596244128</v>
      </c>
      <c r="I11">
        <v>368.5615763546798</v>
      </c>
      <c r="J11">
        <v>359.69951923076923</v>
      </c>
      <c r="K11">
        <v>31.155684827090791</v>
      </c>
      <c r="L11">
        <v>112.3893580546162</v>
      </c>
      <c r="M11">
        <v>69.682194920402225</v>
      </c>
      <c r="N11">
        <v>268</v>
      </c>
      <c r="O11">
        <v>236</v>
      </c>
      <c r="P11">
        <v>196</v>
      </c>
      <c r="Q11">
        <v>455</v>
      </c>
      <c r="R11">
        <v>1924</v>
      </c>
      <c r="S11">
        <v>1084</v>
      </c>
      <c r="T11">
        <v>0</v>
      </c>
      <c r="U11">
        <v>3</v>
      </c>
      <c r="V11">
        <v>2</v>
      </c>
      <c r="W11" s="7" t="s">
        <v>56</v>
      </c>
    </row>
    <row r="12" spans="1:23" x14ac:dyDescent="0.2">
      <c r="A12" s="1">
        <v>11</v>
      </c>
      <c r="B12">
        <v>249</v>
      </c>
      <c r="C12">
        <v>251</v>
      </c>
      <c r="D12">
        <v>243</v>
      </c>
      <c r="E12">
        <v>250</v>
      </c>
      <c r="F12">
        <v>252</v>
      </c>
      <c r="G12">
        <v>244</v>
      </c>
      <c r="H12">
        <v>357.62650602409639</v>
      </c>
      <c r="I12">
        <v>354.77290836653378</v>
      </c>
      <c r="J12">
        <v>366.48148148148152</v>
      </c>
      <c r="K12">
        <v>35.087118825873567</v>
      </c>
      <c r="L12">
        <v>37.523222451004521</v>
      </c>
      <c r="M12">
        <v>87.657500908734193</v>
      </c>
      <c r="N12">
        <v>167</v>
      </c>
      <c r="O12">
        <v>156</v>
      </c>
      <c r="P12">
        <v>167</v>
      </c>
      <c r="Q12">
        <v>462</v>
      </c>
      <c r="R12">
        <v>459</v>
      </c>
      <c r="S12">
        <v>1211</v>
      </c>
      <c r="T12">
        <v>0</v>
      </c>
      <c r="U12">
        <v>0</v>
      </c>
      <c r="V12">
        <v>1</v>
      </c>
      <c r="W12" s="7" t="s">
        <v>57</v>
      </c>
    </row>
    <row r="13" spans="1:23" x14ac:dyDescent="0.2">
      <c r="A13" s="1">
        <v>12</v>
      </c>
      <c r="B13">
        <v>406</v>
      </c>
      <c r="C13">
        <v>347</v>
      </c>
      <c r="D13">
        <v>297</v>
      </c>
      <c r="E13">
        <v>407</v>
      </c>
      <c r="F13">
        <v>348</v>
      </c>
      <c r="G13">
        <v>298</v>
      </c>
      <c r="H13">
        <v>367.80049261083752</v>
      </c>
      <c r="I13">
        <v>428.76080691642647</v>
      </c>
      <c r="J13">
        <v>503.7744107744108</v>
      </c>
      <c r="K13">
        <v>639.19558018508849</v>
      </c>
      <c r="L13">
        <v>855.91110422978829</v>
      </c>
      <c r="M13">
        <v>1179.0026475188649</v>
      </c>
      <c r="N13">
        <v>158</v>
      </c>
      <c r="O13">
        <v>172</v>
      </c>
      <c r="P13">
        <v>153</v>
      </c>
      <c r="Q13">
        <v>12806</v>
      </c>
      <c r="R13">
        <v>14857</v>
      </c>
      <c r="S13">
        <v>11368</v>
      </c>
      <c r="T13">
        <v>10</v>
      </c>
      <c r="U13">
        <v>15</v>
      </c>
      <c r="V13">
        <v>9</v>
      </c>
      <c r="W13" s="7" t="s">
        <v>58</v>
      </c>
    </row>
    <row r="14" spans="1:23" x14ac:dyDescent="0.2">
      <c r="A14" s="2">
        <v>13</v>
      </c>
      <c r="B14" s="3"/>
      <c r="C14" s="3"/>
      <c r="D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8" t="s">
        <v>51</v>
      </c>
    </row>
    <row r="15" spans="1:23" x14ac:dyDescent="0.2">
      <c r="A15" s="1">
        <v>14</v>
      </c>
      <c r="B15">
        <v>505</v>
      </c>
      <c r="C15">
        <v>504</v>
      </c>
      <c r="D15">
        <v>433</v>
      </c>
      <c r="E15">
        <v>506</v>
      </c>
      <c r="F15">
        <v>505</v>
      </c>
      <c r="G15">
        <v>434</v>
      </c>
      <c r="H15">
        <v>296.08712871287128</v>
      </c>
      <c r="I15">
        <v>297.25992063492072</v>
      </c>
      <c r="J15">
        <v>346.0069284064665</v>
      </c>
      <c r="K15">
        <v>36.912384636552723</v>
      </c>
      <c r="L15">
        <v>36.506404852057358</v>
      </c>
      <c r="M15">
        <v>170.68365379879901</v>
      </c>
      <c r="N15">
        <v>196</v>
      </c>
      <c r="O15">
        <v>242</v>
      </c>
      <c r="P15">
        <v>200</v>
      </c>
      <c r="Q15">
        <v>412</v>
      </c>
      <c r="R15">
        <v>632</v>
      </c>
      <c r="S15">
        <v>2036</v>
      </c>
      <c r="T15">
        <v>0</v>
      </c>
      <c r="U15">
        <v>0</v>
      </c>
      <c r="V15">
        <v>6</v>
      </c>
      <c r="W15" s="7" t="s">
        <v>59</v>
      </c>
    </row>
    <row r="16" spans="1:23" x14ac:dyDescent="0.2">
      <c r="A16" s="1">
        <v>15</v>
      </c>
      <c r="B16">
        <v>324</v>
      </c>
      <c r="C16">
        <v>343</v>
      </c>
      <c r="D16">
        <v>331</v>
      </c>
      <c r="E16">
        <v>325</v>
      </c>
      <c r="F16">
        <v>344</v>
      </c>
      <c r="G16">
        <v>332</v>
      </c>
      <c r="H16">
        <v>459.98765432098759</v>
      </c>
      <c r="I16">
        <v>434.47521865889212</v>
      </c>
      <c r="J16">
        <v>450.23867069486403</v>
      </c>
      <c r="K16">
        <v>169.48547113104331</v>
      </c>
      <c r="L16">
        <v>174.85585993186081</v>
      </c>
      <c r="M16">
        <v>210.2769612664205</v>
      </c>
      <c r="N16">
        <v>160</v>
      </c>
      <c r="O16">
        <v>154</v>
      </c>
      <c r="P16">
        <v>162</v>
      </c>
      <c r="Q16">
        <v>1435</v>
      </c>
      <c r="R16">
        <v>1441</v>
      </c>
      <c r="S16">
        <v>1746</v>
      </c>
      <c r="T16">
        <v>6</v>
      </c>
      <c r="U16">
        <v>6</v>
      </c>
      <c r="V16">
        <v>8</v>
      </c>
      <c r="W16" s="7" t="s">
        <v>60</v>
      </c>
    </row>
    <row r="17" spans="1:23" x14ac:dyDescent="0.2">
      <c r="A17" s="1">
        <v>16</v>
      </c>
      <c r="B17">
        <v>220</v>
      </c>
      <c r="C17">
        <v>181</v>
      </c>
      <c r="D17">
        <v>182</v>
      </c>
      <c r="E17">
        <v>221</v>
      </c>
      <c r="F17">
        <v>182</v>
      </c>
      <c r="G17">
        <v>183</v>
      </c>
      <c r="H17">
        <v>444.10454545454547</v>
      </c>
      <c r="I17">
        <v>532.54696132596689</v>
      </c>
      <c r="J17">
        <v>531.52747252747258</v>
      </c>
      <c r="K17">
        <v>263.18383070843811</v>
      </c>
      <c r="L17">
        <v>440.70974859265817</v>
      </c>
      <c r="M17">
        <v>410.23600108858892</v>
      </c>
      <c r="N17">
        <v>172</v>
      </c>
      <c r="O17">
        <v>156</v>
      </c>
      <c r="P17">
        <v>168</v>
      </c>
      <c r="Q17">
        <v>2224</v>
      </c>
      <c r="R17">
        <v>3757</v>
      </c>
      <c r="S17">
        <v>3015</v>
      </c>
      <c r="T17">
        <v>10</v>
      </c>
      <c r="U17">
        <v>12</v>
      </c>
      <c r="V17">
        <v>15</v>
      </c>
      <c r="W17" s="7" t="s">
        <v>61</v>
      </c>
    </row>
    <row r="18" spans="1:23" x14ac:dyDescent="0.2">
      <c r="A18" s="1">
        <v>17</v>
      </c>
      <c r="B18">
        <v>417</v>
      </c>
      <c r="C18">
        <v>387</v>
      </c>
      <c r="D18">
        <v>384</v>
      </c>
      <c r="E18">
        <v>418</v>
      </c>
      <c r="F18">
        <v>388</v>
      </c>
      <c r="G18">
        <v>385</v>
      </c>
      <c r="H18">
        <v>358.23021582733821</v>
      </c>
      <c r="I18">
        <v>386.00516795865627</v>
      </c>
      <c r="J18">
        <v>389.01822916666669</v>
      </c>
      <c r="K18">
        <v>90.782150207777832</v>
      </c>
      <c r="L18">
        <v>36.614360190869682</v>
      </c>
      <c r="M18">
        <v>28.764864355651721</v>
      </c>
      <c r="N18">
        <v>151</v>
      </c>
      <c r="O18">
        <v>157</v>
      </c>
      <c r="P18">
        <v>192</v>
      </c>
      <c r="Q18">
        <v>788</v>
      </c>
      <c r="R18">
        <v>459</v>
      </c>
      <c r="S18">
        <v>470</v>
      </c>
      <c r="T18">
        <v>0</v>
      </c>
      <c r="U18">
        <v>0</v>
      </c>
      <c r="V18">
        <v>0</v>
      </c>
      <c r="W18" s="7" t="s">
        <v>62</v>
      </c>
    </row>
    <row r="19" spans="1:23" x14ac:dyDescent="0.2">
      <c r="A19" s="2">
        <v>18</v>
      </c>
      <c r="B19" s="3"/>
      <c r="C19" s="3"/>
      <c r="D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8" t="s">
        <v>51</v>
      </c>
    </row>
    <row r="20" spans="1:23" x14ac:dyDescent="0.2">
      <c r="A20" s="1">
        <v>19</v>
      </c>
      <c r="B20">
        <v>281</v>
      </c>
      <c r="C20">
        <v>294</v>
      </c>
      <c r="D20">
        <v>322</v>
      </c>
      <c r="E20">
        <v>282</v>
      </c>
      <c r="F20">
        <v>295</v>
      </c>
      <c r="G20">
        <v>323</v>
      </c>
      <c r="H20">
        <v>531.09964412811382</v>
      </c>
      <c r="I20">
        <v>508.29591836734693</v>
      </c>
      <c r="J20">
        <v>464.07763975155279</v>
      </c>
      <c r="K20">
        <v>261.76997269934492</v>
      </c>
      <c r="L20">
        <v>220.69139925112609</v>
      </c>
      <c r="M20">
        <v>152.5741437554164</v>
      </c>
      <c r="N20">
        <v>156</v>
      </c>
      <c r="O20">
        <v>167</v>
      </c>
      <c r="P20">
        <v>151</v>
      </c>
      <c r="Q20">
        <v>2300</v>
      </c>
      <c r="R20">
        <v>1895</v>
      </c>
      <c r="S20">
        <v>1405</v>
      </c>
      <c r="T20">
        <v>14</v>
      </c>
      <c r="U20">
        <v>10</v>
      </c>
      <c r="V20">
        <v>4</v>
      </c>
      <c r="W20" s="7" t="s">
        <v>63</v>
      </c>
    </row>
    <row r="21" spans="1:23" x14ac:dyDescent="0.2">
      <c r="A21" s="2">
        <v>20</v>
      </c>
      <c r="B21" s="3"/>
      <c r="C21" s="3"/>
      <c r="D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8" t="s">
        <v>51</v>
      </c>
    </row>
    <row r="22" spans="1:23" x14ac:dyDescent="0.2">
      <c r="A22" s="1">
        <v>21</v>
      </c>
      <c r="B22">
        <v>359</v>
      </c>
      <c r="C22">
        <v>308</v>
      </c>
      <c r="D22">
        <v>213</v>
      </c>
      <c r="E22">
        <v>360</v>
      </c>
      <c r="F22">
        <v>309</v>
      </c>
      <c r="G22">
        <v>214</v>
      </c>
      <c r="H22">
        <v>208.4122562674095</v>
      </c>
      <c r="I22">
        <v>242.9350649350649</v>
      </c>
      <c r="J22">
        <v>350.42253521126759</v>
      </c>
      <c r="K22">
        <v>65.937014682424262</v>
      </c>
      <c r="L22">
        <v>156.06883453054351</v>
      </c>
      <c r="M22">
        <v>353.01268064662491</v>
      </c>
      <c r="N22">
        <v>151</v>
      </c>
      <c r="O22">
        <v>151</v>
      </c>
      <c r="P22">
        <v>152</v>
      </c>
      <c r="Q22">
        <v>576</v>
      </c>
      <c r="R22">
        <v>1236</v>
      </c>
      <c r="S22">
        <v>2377</v>
      </c>
      <c r="T22">
        <v>0</v>
      </c>
      <c r="U22">
        <v>3</v>
      </c>
      <c r="V22">
        <v>14</v>
      </c>
      <c r="W22" s="7" t="s">
        <v>64</v>
      </c>
    </row>
    <row r="23" spans="1:23" x14ac:dyDescent="0.2">
      <c r="A23" s="1">
        <v>22</v>
      </c>
      <c r="B23">
        <v>181</v>
      </c>
      <c r="C23">
        <v>151</v>
      </c>
      <c r="D23">
        <v>153</v>
      </c>
      <c r="E23">
        <v>182</v>
      </c>
      <c r="F23">
        <v>152</v>
      </c>
      <c r="G23">
        <v>154</v>
      </c>
      <c r="H23">
        <v>824.12707182320446</v>
      </c>
      <c r="I23">
        <v>987.92052980132451</v>
      </c>
      <c r="J23">
        <v>974.32679738562092</v>
      </c>
      <c r="K23">
        <v>1671.418678975951</v>
      </c>
      <c r="L23">
        <v>2006.0562521962629</v>
      </c>
      <c r="M23">
        <v>1666.824154169213</v>
      </c>
      <c r="N23">
        <v>172</v>
      </c>
      <c r="O23">
        <v>157</v>
      </c>
      <c r="P23">
        <v>175</v>
      </c>
      <c r="Q23">
        <v>19180</v>
      </c>
      <c r="R23">
        <v>15837</v>
      </c>
      <c r="S23">
        <v>14630</v>
      </c>
      <c r="T23">
        <v>31</v>
      </c>
      <c r="U23">
        <v>29</v>
      </c>
      <c r="V23">
        <v>32</v>
      </c>
      <c r="W23" s="7" t="s">
        <v>65</v>
      </c>
    </row>
    <row r="24" spans="1:23" x14ac:dyDescent="0.2">
      <c r="A24" s="1">
        <v>23</v>
      </c>
      <c r="B24">
        <v>376</v>
      </c>
      <c r="C24">
        <v>374</v>
      </c>
      <c r="D24">
        <v>376</v>
      </c>
      <c r="E24">
        <v>377</v>
      </c>
      <c r="F24">
        <v>375</v>
      </c>
      <c r="G24">
        <v>377</v>
      </c>
      <c r="H24">
        <v>398.61968085106378</v>
      </c>
      <c r="I24">
        <v>400.75401069518722</v>
      </c>
      <c r="J24">
        <v>398.61968085106378</v>
      </c>
      <c r="K24">
        <v>83.910279296586822</v>
      </c>
      <c r="L24">
        <v>159.22103752595541</v>
      </c>
      <c r="M24">
        <v>158.73606281591421</v>
      </c>
      <c r="N24">
        <v>158</v>
      </c>
      <c r="O24">
        <v>192</v>
      </c>
      <c r="P24">
        <v>152</v>
      </c>
      <c r="Q24">
        <v>1753</v>
      </c>
      <c r="R24">
        <v>3290</v>
      </c>
      <c r="S24">
        <v>3290</v>
      </c>
      <c r="T24">
        <v>1</v>
      </c>
      <c r="U24">
        <v>1</v>
      </c>
      <c r="V24">
        <v>1</v>
      </c>
      <c r="W24" s="7" t="s">
        <v>66</v>
      </c>
    </row>
    <row r="25" spans="1:23" x14ac:dyDescent="0.2">
      <c r="A25" s="2">
        <v>24</v>
      </c>
      <c r="B25" s="3"/>
      <c r="C25" s="3"/>
      <c r="D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8" t="s">
        <v>51</v>
      </c>
    </row>
    <row r="26" spans="1:23" x14ac:dyDescent="0.2">
      <c r="A26" s="1">
        <v>25</v>
      </c>
      <c r="B26">
        <v>335</v>
      </c>
      <c r="C26">
        <v>329</v>
      </c>
      <c r="D26">
        <v>323</v>
      </c>
      <c r="E26">
        <v>336</v>
      </c>
      <c r="F26">
        <v>330</v>
      </c>
      <c r="G26">
        <v>324</v>
      </c>
      <c r="H26">
        <v>445.86268656716419</v>
      </c>
      <c r="I26">
        <v>453.99088145896661</v>
      </c>
      <c r="J26">
        <v>462.41486068111448</v>
      </c>
      <c r="K26">
        <v>103.33124579733961</v>
      </c>
      <c r="L26">
        <v>91.327589342625799</v>
      </c>
      <c r="M26">
        <v>124.3403764650409</v>
      </c>
      <c r="N26">
        <v>158</v>
      </c>
      <c r="O26">
        <v>179</v>
      </c>
      <c r="P26">
        <v>172</v>
      </c>
      <c r="Q26">
        <v>875</v>
      </c>
      <c r="R26">
        <v>1047</v>
      </c>
      <c r="S26">
        <v>1293</v>
      </c>
      <c r="T26">
        <v>0</v>
      </c>
      <c r="U26">
        <v>1</v>
      </c>
      <c r="V26">
        <v>3</v>
      </c>
      <c r="W26" s="7" t="s">
        <v>64</v>
      </c>
    </row>
    <row r="27" spans="1:23" x14ac:dyDescent="0.2">
      <c r="A27" s="1">
        <v>26</v>
      </c>
      <c r="B27">
        <v>372</v>
      </c>
      <c r="C27">
        <v>372</v>
      </c>
      <c r="D27">
        <v>365</v>
      </c>
      <c r="E27">
        <v>373</v>
      </c>
      <c r="F27">
        <v>373</v>
      </c>
      <c r="G27">
        <v>366</v>
      </c>
      <c r="H27">
        <v>402.88978494623649</v>
      </c>
      <c r="I27">
        <v>402.88978494623649</v>
      </c>
      <c r="J27">
        <v>410.61917808219181</v>
      </c>
      <c r="K27">
        <v>108.902989560726</v>
      </c>
      <c r="L27">
        <v>89.943655336347121</v>
      </c>
      <c r="M27">
        <v>130.90412633118709</v>
      </c>
      <c r="N27">
        <v>152</v>
      </c>
      <c r="O27">
        <v>155</v>
      </c>
      <c r="P27">
        <v>155</v>
      </c>
      <c r="Q27">
        <v>1115</v>
      </c>
      <c r="R27">
        <v>1488</v>
      </c>
      <c r="S27">
        <v>1867</v>
      </c>
      <c r="T27">
        <v>1</v>
      </c>
      <c r="U27">
        <v>2</v>
      </c>
      <c r="V27">
        <v>5</v>
      </c>
      <c r="W27" s="7" t="s">
        <v>67</v>
      </c>
    </row>
    <row r="28" spans="1:23" x14ac:dyDescent="0.2">
      <c r="A28" s="1">
        <v>27</v>
      </c>
      <c r="B28">
        <v>322</v>
      </c>
      <c r="C28">
        <v>384</v>
      </c>
      <c r="D28">
        <v>375</v>
      </c>
      <c r="E28">
        <v>323</v>
      </c>
      <c r="F28">
        <v>385</v>
      </c>
      <c r="G28">
        <v>376</v>
      </c>
      <c r="H28">
        <v>464.77639751552789</v>
      </c>
      <c r="I28">
        <v>389.74479166666669</v>
      </c>
      <c r="J28">
        <v>399.09066666666672</v>
      </c>
      <c r="K28">
        <v>242.2748876498255</v>
      </c>
      <c r="L28">
        <v>157.8009039871863</v>
      </c>
      <c r="M28">
        <v>154.93708329178699</v>
      </c>
      <c r="N28">
        <v>154</v>
      </c>
      <c r="O28">
        <v>152</v>
      </c>
      <c r="P28">
        <v>151</v>
      </c>
      <c r="Q28">
        <v>1873</v>
      </c>
      <c r="R28">
        <v>2115</v>
      </c>
      <c r="S28">
        <v>1734</v>
      </c>
      <c r="T28">
        <v>16</v>
      </c>
      <c r="U28">
        <v>5</v>
      </c>
      <c r="V28">
        <v>6</v>
      </c>
      <c r="W28" s="7" t="s">
        <v>68</v>
      </c>
    </row>
    <row r="29" spans="1:23" x14ac:dyDescent="0.2">
      <c r="A29" s="1">
        <v>28</v>
      </c>
      <c r="B29">
        <v>416</v>
      </c>
      <c r="C29">
        <v>397</v>
      </c>
      <c r="D29">
        <v>399</v>
      </c>
      <c r="E29">
        <v>417</v>
      </c>
      <c r="F29">
        <v>398</v>
      </c>
      <c r="G29">
        <v>400</v>
      </c>
      <c r="H29">
        <v>359.30288461538458</v>
      </c>
      <c r="I29">
        <v>375.66498740554158</v>
      </c>
      <c r="J29">
        <v>373.78446115288222</v>
      </c>
      <c r="K29">
        <v>50.093787618066997</v>
      </c>
      <c r="L29">
        <v>101.9223367847747</v>
      </c>
      <c r="M29">
        <v>112.90129392525959</v>
      </c>
      <c r="N29">
        <v>231</v>
      </c>
      <c r="O29">
        <v>172</v>
      </c>
      <c r="P29">
        <v>153</v>
      </c>
      <c r="Q29">
        <v>633</v>
      </c>
      <c r="R29">
        <v>1192</v>
      </c>
      <c r="S29">
        <v>1696</v>
      </c>
      <c r="T29">
        <v>0</v>
      </c>
      <c r="U29">
        <v>2</v>
      </c>
      <c r="V29">
        <v>2</v>
      </c>
      <c r="W29" s="7" t="s">
        <v>69</v>
      </c>
    </row>
    <row r="30" spans="1:23" x14ac:dyDescent="0.2">
      <c r="A30" s="2">
        <v>29</v>
      </c>
      <c r="B30" s="3"/>
      <c r="C30" s="3"/>
      <c r="D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8" t="s">
        <v>70</v>
      </c>
    </row>
    <row r="31" spans="1:23" x14ac:dyDescent="0.2">
      <c r="A31" s="1">
        <v>30</v>
      </c>
      <c r="B31">
        <v>314</v>
      </c>
      <c r="C31">
        <v>316</v>
      </c>
      <c r="D31">
        <v>296</v>
      </c>
      <c r="E31">
        <v>315</v>
      </c>
      <c r="F31">
        <v>317</v>
      </c>
      <c r="G31">
        <v>297</v>
      </c>
      <c r="H31">
        <v>329.68152866242042</v>
      </c>
      <c r="I31">
        <v>327.59493670886081</v>
      </c>
      <c r="J31">
        <v>349.72972972972968</v>
      </c>
      <c r="K31">
        <v>22.702841644648529</v>
      </c>
      <c r="L31">
        <v>37.204290241542488</v>
      </c>
      <c r="M31">
        <v>132.22057044476949</v>
      </c>
      <c r="N31">
        <v>256</v>
      </c>
      <c r="O31">
        <v>151</v>
      </c>
      <c r="P31">
        <v>161</v>
      </c>
      <c r="Q31">
        <v>401</v>
      </c>
      <c r="R31">
        <v>610</v>
      </c>
      <c r="S31">
        <v>1629</v>
      </c>
      <c r="T31">
        <v>0</v>
      </c>
      <c r="U31">
        <v>0</v>
      </c>
      <c r="V31">
        <v>3</v>
      </c>
      <c r="W31" s="7" t="s">
        <v>71</v>
      </c>
    </row>
    <row r="32" spans="1:23" x14ac:dyDescent="0.2">
      <c r="A32" s="1">
        <v>31</v>
      </c>
      <c r="B32">
        <v>369</v>
      </c>
      <c r="C32">
        <v>389</v>
      </c>
      <c r="D32">
        <v>385</v>
      </c>
      <c r="E32">
        <v>370</v>
      </c>
      <c r="F32">
        <v>390</v>
      </c>
      <c r="G32">
        <v>386</v>
      </c>
      <c r="H32">
        <v>401.24932249322501</v>
      </c>
      <c r="I32">
        <v>384.33419023136253</v>
      </c>
      <c r="J32">
        <v>387.15844155844161</v>
      </c>
      <c r="K32">
        <v>150.4200555250506</v>
      </c>
      <c r="L32">
        <v>47.307410855274021</v>
      </c>
      <c r="M32">
        <v>58.976499006510508</v>
      </c>
      <c r="N32">
        <v>164</v>
      </c>
      <c r="O32">
        <v>160</v>
      </c>
      <c r="P32">
        <v>159</v>
      </c>
      <c r="Q32">
        <v>1803</v>
      </c>
      <c r="R32">
        <v>593</v>
      </c>
      <c r="S32">
        <v>837</v>
      </c>
      <c r="T32">
        <v>6</v>
      </c>
      <c r="U32">
        <v>0</v>
      </c>
      <c r="V32">
        <v>0</v>
      </c>
      <c r="W32" s="7" t="s">
        <v>72</v>
      </c>
    </row>
    <row r="33" spans="1:23" x14ac:dyDescent="0.2">
      <c r="A33" s="1">
        <v>32</v>
      </c>
      <c r="B33">
        <v>372</v>
      </c>
      <c r="C33">
        <v>372</v>
      </c>
      <c r="D33">
        <v>372</v>
      </c>
      <c r="E33">
        <v>373</v>
      </c>
      <c r="F33">
        <v>373</v>
      </c>
      <c r="G33">
        <v>373</v>
      </c>
      <c r="H33">
        <v>402.32258064516128</v>
      </c>
      <c r="I33">
        <v>402.33064516129031</v>
      </c>
      <c r="J33">
        <v>402.31989247311827</v>
      </c>
      <c r="K33">
        <v>92.533628917566261</v>
      </c>
      <c r="L33">
        <v>89.928577989453871</v>
      </c>
      <c r="M33">
        <v>92.357078816599525</v>
      </c>
      <c r="N33">
        <v>171</v>
      </c>
      <c r="O33">
        <v>167</v>
      </c>
      <c r="P33">
        <v>164</v>
      </c>
      <c r="Q33">
        <v>620</v>
      </c>
      <c r="R33">
        <v>617</v>
      </c>
      <c r="S33">
        <v>621</v>
      </c>
      <c r="T33">
        <v>0</v>
      </c>
      <c r="U33">
        <v>0</v>
      </c>
      <c r="V33">
        <v>0</v>
      </c>
      <c r="W33" s="7" t="s">
        <v>73</v>
      </c>
    </row>
    <row r="34" spans="1:23" x14ac:dyDescent="0.2">
      <c r="A34" s="1">
        <v>33</v>
      </c>
      <c r="B34">
        <v>310</v>
      </c>
      <c r="C34">
        <v>313</v>
      </c>
      <c r="D34">
        <v>320</v>
      </c>
      <c r="E34">
        <v>311</v>
      </c>
      <c r="F34">
        <v>314</v>
      </c>
      <c r="G34">
        <v>321</v>
      </c>
      <c r="H34">
        <v>481.88064516129032</v>
      </c>
      <c r="I34">
        <v>478.8306709265176</v>
      </c>
      <c r="J34">
        <v>466.828125</v>
      </c>
      <c r="K34">
        <v>62.571243120157341</v>
      </c>
      <c r="L34">
        <v>73.441718248936041</v>
      </c>
      <c r="M34">
        <v>98.067751304917437</v>
      </c>
      <c r="N34">
        <v>163</v>
      </c>
      <c r="O34">
        <v>172</v>
      </c>
      <c r="P34">
        <v>167</v>
      </c>
      <c r="Q34">
        <v>626</v>
      </c>
      <c r="R34">
        <v>894</v>
      </c>
      <c r="S34">
        <v>1156</v>
      </c>
      <c r="T34">
        <v>0</v>
      </c>
      <c r="U34">
        <v>0</v>
      </c>
      <c r="V34">
        <v>1</v>
      </c>
      <c r="W34" s="7" t="s">
        <v>74</v>
      </c>
    </row>
    <row r="35" spans="1:23" x14ac:dyDescent="0.2">
      <c r="A35" s="1">
        <v>34</v>
      </c>
      <c r="B35">
        <v>352</v>
      </c>
      <c r="C35">
        <v>352</v>
      </c>
      <c r="D35">
        <v>352</v>
      </c>
      <c r="E35">
        <v>353</v>
      </c>
      <c r="F35">
        <v>353</v>
      </c>
      <c r="G35">
        <v>353</v>
      </c>
      <c r="H35">
        <v>318.21306818181819</v>
      </c>
      <c r="I35">
        <v>318.21306818181819</v>
      </c>
      <c r="J35">
        <v>318.21022727272731</v>
      </c>
      <c r="K35">
        <v>44.046304949827856</v>
      </c>
      <c r="L35">
        <v>42.787722893903577</v>
      </c>
      <c r="M35">
        <v>42.81339764153293</v>
      </c>
      <c r="N35">
        <v>230</v>
      </c>
      <c r="O35">
        <v>257</v>
      </c>
      <c r="P35">
        <v>257</v>
      </c>
      <c r="Q35">
        <v>480</v>
      </c>
      <c r="R35">
        <v>478</v>
      </c>
      <c r="S35">
        <v>479</v>
      </c>
      <c r="T35">
        <v>0</v>
      </c>
      <c r="U35">
        <v>0</v>
      </c>
      <c r="V35">
        <v>0</v>
      </c>
      <c r="W35" s="7" t="s">
        <v>75</v>
      </c>
    </row>
    <row r="36" spans="1:23" x14ac:dyDescent="0.2">
      <c r="A36" s="1">
        <v>35</v>
      </c>
      <c r="B36">
        <v>10</v>
      </c>
      <c r="C36">
        <v>416</v>
      </c>
      <c r="D36">
        <v>419</v>
      </c>
      <c r="E36">
        <v>11</v>
      </c>
      <c r="F36">
        <v>417</v>
      </c>
      <c r="G36">
        <v>420</v>
      </c>
      <c r="H36">
        <v>10114.6</v>
      </c>
      <c r="I36">
        <v>359.28365384615392</v>
      </c>
      <c r="J36">
        <v>356.70644391408109</v>
      </c>
      <c r="K36">
        <v>18031.889321113551</v>
      </c>
      <c r="L36">
        <v>54.123164513715238</v>
      </c>
      <c r="M36">
        <v>43.498745859978371</v>
      </c>
      <c r="N36">
        <v>406</v>
      </c>
      <c r="O36">
        <v>167</v>
      </c>
      <c r="P36">
        <v>175</v>
      </c>
      <c r="Q36">
        <v>52779</v>
      </c>
      <c r="R36">
        <v>1003</v>
      </c>
      <c r="S36">
        <v>495</v>
      </c>
      <c r="T36">
        <v>5</v>
      </c>
      <c r="U36">
        <v>1</v>
      </c>
      <c r="V36">
        <v>0</v>
      </c>
      <c r="W36" s="7" t="s">
        <v>76</v>
      </c>
    </row>
    <row r="37" spans="1:23" x14ac:dyDescent="0.2">
      <c r="A37" s="1">
        <v>36</v>
      </c>
      <c r="B37">
        <v>329</v>
      </c>
      <c r="C37">
        <v>342</v>
      </c>
      <c r="D37">
        <v>313</v>
      </c>
      <c r="E37">
        <v>330</v>
      </c>
      <c r="F37">
        <v>343</v>
      </c>
      <c r="G37">
        <v>314</v>
      </c>
      <c r="H37">
        <v>446.35866261398178</v>
      </c>
      <c r="I37">
        <v>429.38888888888891</v>
      </c>
      <c r="J37">
        <v>468.57188498402559</v>
      </c>
      <c r="K37">
        <v>177.12345561758119</v>
      </c>
      <c r="L37">
        <v>166.69384089318859</v>
      </c>
      <c r="M37">
        <v>271.07913874627582</v>
      </c>
      <c r="N37">
        <v>151</v>
      </c>
      <c r="O37">
        <v>159</v>
      </c>
      <c r="P37">
        <v>161</v>
      </c>
      <c r="Q37">
        <v>1519</v>
      </c>
      <c r="R37">
        <v>1698</v>
      </c>
      <c r="S37">
        <v>2125</v>
      </c>
      <c r="T37">
        <v>8</v>
      </c>
      <c r="U37">
        <v>4</v>
      </c>
      <c r="V37">
        <v>16</v>
      </c>
      <c r="W37" s="7" t="s">
        <v>77</v>
      </c>
    </row>
    <row r="38" spans="1:23" x14ac:dyDescent="0.2">
      <c r="A38" s="1">
        <v>37</v>
      </c>
      <c r="B38">
        <v>434</v>
      </c>
      <c r="C38">
        <v>431</v>
      </c>
      <c r="D38">
        <v>393</v>
      </c>
      <c r="E38">
        <v>435</v>
      </c>
      <c r="F38">
        <v>432</v>
      </c>
      <c r="G38">
        <v>394</v>
      </c>
      <c r="H38">
        <v>335.26267281105987</v>
      </c>
      <c r="I38">
        <v>337.59164733178648</v>
      </c>
      <c r="J38">
        <v>370.52671755725191</v>
      </c>
      <c r="K38">
        <v>57.506100796935407</v>
      </c>
      <c r="L38">
        <v>73.078838121808403</v>
      </c>
      <c r="M38">
        <v>137.18738088150329</v>
      </c>
      <c r="N38">
        <v>174</v>
      </c>
      <c r="O38">
        <v>160</v>
      </c>
      <c r="P38">
        <v>152</v>
      </c>
      <c r="Q38">
        <v>899</v>
      </c>
      <c r="R38">
        <v>751</v>
      </c>
      <c r="S38">
        <v>1359</v>
      </c>
      <c r="T38">
        <v>0</v>
      </c>
      <c r="U38">
        <v>0</v>
      </c>
      <c r="V38">
        <v>1</v>
      </c>
      <c r="W38" s="7" t="s">
        <v>78</v>
      </c>
    </row>
    <row r="39" spans="1:23" x14ac:dyDescent="0.2">
      <c r="A39" s="2">
        <v>38</v>
      </c>
      <c r="B39" s="3"/>
      <c r="C39" s="3"/>
      <c r="D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8" t="s">
        <v>51</v>
      </c>
    </row>
    <row r="40" spans="1:23" x14ac:dyDescent="0.2">
      <c r="A40" s="1">
        <v>39</v>
      </c>
      <c r="B40">
        <v>383</v>
      </c>
      <c r="C40">
        <v>373</v>
      </c>
      <c r="D40">
        <v>356</v>
      </c>
      <c r="E40">
        <v>384</v>
      </c>
      <c r="F40">
        <v>374</v>
      </c>
      <c r="G40">
        <v>357</v>
      </c>
      <c r="H40">
        <v>389.81984334203662</v>
      </c>
      <c r="I40">
        <v>400.26809651474531</v>
      </c>
      <c r="J40">
        <v>419.39044943820232</v>
      </c>
      <c r="K40">
        <v>95.401858362575865</v>
      </c>
      <c r="L40">
        <v>184.62942535045161</v>
      </c>
      <c r="M40">
        <v>254.2823025169439</v>
      </c>
      <c r="N40">
        <v>161</v>
      </c>
      <c r="O40">
        <v>159</v>
      </c>
      <c r="P40">
        <v>157</v>
      </c>
      <c r="Q40">
        <v>1344</v>
      </c>
      <c r="R40">
        <v>2083</v>
      </c>
      <c r="S40">
        <v>2429</v>
      </c>
      <c r="T40">
        <v>1</v>
      </c>
      <c r="U40">
        <v>6</v>
      </c>
      <c r="V40">
        <v>11</v>
      </c>
      <c r="W40" s="7" t="s">
        <v>79</v>
      </c>
    </row>
    <row r="41" spans="1:23" x14ac:dyDescent="0.2">
      <c r="A41" s="1">
        <v>40</v>
      </c>
      <c r="B41">
        <v>450</v>
      </c>
      <c r="C41">
        <v>450</v>
      </c>
      <c r="D41">
        <v>451</v>
      </c>
      <c r="E41">
        <v>451</v>
      </c>
      <c r="F41">
        <v>451</v>
      </c>
      <c r="G41">
        <v>452</v>
      </c>
      <c r="H41">
        <v>332.25111111111107</v>
      </c>
      <c r="I41">
        <v>332.25111111111107</v>
      </c>
      <c r="J41">
        <v>331.51219512195121</v>
      </c>
      <c r="K41">
        <v>30.456315221105051</v>
      </c>
      <c r="L41">
        <v>30.23503419461138</v>
      </c>
      <c r="M41">
        <v>39.047284239804249</v>
      </c>
      <c r="N41">
        <v>265</v>
      </c>
      <c r="O41">
        <v>278</v>
      </c>
      <c r="P41">
        <v>152</v>
      </c>
      <c r="Q41">
        <v>455</v>
      </c>
      <c r="R41">
        <v>455</v>
      </c>
      <c r="S41">
        <v>616</v>
      </c>
      <c r="T41">
        <v>0</v>
      </c>
      <c r="U41">
        <v>0</v>
      </c>
      <c r="V41">
        <v>0</v>
      </c>
      <c r="W41" s="7" t="s">
        <v>80</v>
      </c>
    </row>
    <row r="42" spans="1:23" x14ac:dyDescent="0.2">
      <c r="A42" s="1">
        <v>41</v>
      </c>
      <c r="B42">
        <v>426</v>
      </c>
      <c r="C42">
        <v>426</v>
      </c>
      <c r="D42">
        <v>426</v>
      </c>
      <c r="E42">
        <v>427</v>
      </c>
      <c r="F42">
        <v>427</v>
      </c>
      <c r="G42">
        <v>427</v>
      </c>
      <c r="H42">
        <v>351.53286384976519</v>
      </c>
      <c r="I42">
        <v>351.53521126760558</v>
      </c>
      <c r="J42">
        <v>351.53521126760558</v>
      </c>
      <c r="K42">
        <v>27.334702783269019</v>
      </c>
      <c r="L42">
        <v>26.9893212795678</v>
      </c>
      <c r="M42">
        <v>26.977985440463289</v>
      </c>
      <c r="N42">
        <v>276</v>
      </c>
      <c r="O42">
        <v>296</v>
      </c>
      <c r="P42">
        <v>296</v>
      </c>
      <c r="Q42">
        <v>463</v>
      </c>
      <c r="R42">
        <v>461</v>
      </c>
      <c r="S42">
        <v>463</v>
      </c>
      <c r="T42">
        <v>0</v>
      </c>
      <c r="U42">
        <v>0</v>
      </c>
      <c r="V42">
        <v>0</v>
      </c>
      <c r="W42" s="7" t="s">
        <v>81</v>
      </c>
    </row>
    <row r="43" spans="1:23" x14ac:dyDescent="0.2">
      <c r="A43" s="1">
        <v>42</v>
      </c>
      <c r="B43">
        <v>346</v>
      </c>
      <c r="C43">
        <v>340</v>
      </c>
      <c r="D43">
        <v>341</v>
      </c>
      <c r="E43">
        <v>347</v>
      </c>
      <c r="F43">
        <v>341</v>
      </c>
      <c r="G43">
        <v>342</v>
      </c>
      <c r="H43">
        <v>433.23121387283243</v>
      </c>
      <c r="I43">
        <v>440.87352941176471</v>
      </c>
      <c r="J43">
        <v>439.58064516129031</v>
      </c>
      <c r="K43">
        <v>58.869728519108577</v>
      </c>
      <c r="L43">
        <v>42.62180400096959</v>
      </c>
      <c r="M43">
        <v>46.159666384832263</v>
      </c>
      <c r="N43">
        <v>170</v>
      </c>
      <c r="O43">
        <v>158</v>
      </c>
      <c r="P43">
        <v>157</v>
      </c>
      <c r="Q43">
        <v>579</v>
      </c>
      <c r="R43">
        <v>548</v>
      </c>
      <c r="S43">
        <v>551</v>
      </c>
      <c r="T43">
        <v>0</v>
      </c>
      <c r="U43">
        <v>0</v>
      </c>
      <c r="V43">
        <v>0</v>
      </c>
      <c r="W43" s="7" t="s">
        <v>82</v>
      </c>
    </row>
    <row r="44" spans="1:23" x14ac:dyDescent="0.2">
      <c r="A44" s="1">
        <v>43</v>
      </c>
      <c r="B44">
        <v>454</v>
      </c>
      <c r="C44">
        <v>451</v>
      </c>
      <c r="D44">
        <v>450</v>
      </c>
      <c r="E44">
        <v>455</v>
      </c>
      <c r="F44">
        <v>452</v>
      </c>
      <c r="G44">
        <v>451</v>
      </c>
      <c r="H44">
        <v>329.76211453744492</v>
      </c>
      <c r="I44">
        <v>331.95787139689583</v>
      </c>
      <c r="J44">
        <v>332.69333333333333</v>
      </c>
      <c r="K44">
        <v>35.533595966605724</v>
      </c>
      <c r="L44">
        <v>19.068193386226589</v>
      </c>
      <c r="M44">
        <v>29.394319406358591</v>
      </c>
      <c r="N44">
        <v>160</v>
      </c>
      <c r="O44">
        <v>253</v>
      </c>
      <c r="P44">
        <v>212</v>
      </c>
      <c r="Q44">
        <v>466</v>
      </c>
      <c r="R44">
        <v>399</v>
      </c>
      <c r="S44">
        <v>663</v>
      </c>
      <c r="T44">
        <v>0</v>
      </c>
      <c r="U44">
        <v>0</v>
      </c>
      <c r="V44">
        <v>0</v>
      </c>
      <c r="W44" s="7" t="s">
        <v>83</v>
      </c>
    </row>
    <row r="45" spans="1:23" x14ac:dyDescent="0.2">
      <c r="A45" s="1">
        <v>44</v>
      </c>
      <c r="B45">
        <v>201</v>
      </c>
      <c r="C45">
        <v>187</v>
      </c>
      <c r="D45">
        <v>184</v>
      </c>
      <c r="E45">
        <v>202</v>
      </c>
      <c r="F45">
        <v>188</v>
      </c>
      <c r="G45">
        <v>185</v>
      </c>
      <c r="H45">
        <v>743.94527363184079</v>
      </c>
      <c r="I45">
        <v>800.13903743315507</v>
      </c>
      <c r="J45">
        <v>813.16847826086962</v>
      </c>
      <c r="K45">
        <v>659.08707466468331</v>
      </c>
      <c r="L45">
        <v>778.6749718255079</v>
      </c>
      <c r="M45">
        <v>758.28089211760914</v>
      </c>
      <c r="N45">
        <v>176</v>
      </c>
      <c r="O45">
        <v>152</v>
      </c>
      <c r="P45">
        <v>151</v>
      </c>
      <c r="Q45">
        <v>4106</v>
      </c>
      <c r="R45">
        <v>5147</v>
      </c>
      <c r="S45">
        <v>4214</v>
      </c>
      <c r="T45">
        <v>45</v>
      </c>
      <c r="U45">
        <v>46</v>
      </c>
      <c r="V45">
        <v>50</v>
      </c>
      <c r="W45" s="7" t="s">
        <v>84</v>
      </c>
    </row>
    <row r="46" spans="1:23" x14ac:dyDescent="0.2">
      <c r="A46" s="1">
        <v>45</v>
      </c>
      <c r="B46">
        <v>269</v>
      </c>
      <c r="C46">
        <v>129</v>
      </c>
      <c r="D46">
        <v>184</v>
      </c>
      <c r="E46">
        <v>270</v>
      </c>
      <c r="F46">
        <v>130</v>
      </c>
      <c r="G46">
        <v>185</v>
      </c>
      <c r="H46">
        <v>552.50185873605949</v>
      </c>
      <c r="I46">
        <v>1152.1937984496119</v>
      </c>
      <c r="J46">
        <v>807.74456521739125</v>
      </c>
      <c r="K46">
        <v>1385.855255155747</v>
      </c>
      <c r="L46">
        <v>2468.2992913818698</v>
      </c>
      <c r="M46">
        <v>1357.294900917901</v>
      </c>
      <c r="N46">
        <v>164</v>
      </c>
      <c r="O46">
        <v>165</v>
      </c>
      <c r="P46">
        <v>152</v>
      </c>
      <c r="Q46">
        <v>18868</v>
      </c>
      <c r="R46">
        <v>24934</v>
      </c>
      <c r="S46">
        <v>15380</v>
      </c>
      <c r="T46">
        <v>17</v>
      </c>
      <c r="U46">
        <v>35</v>
      </c>
      <c r="V46">
        <v>37</v>
      </c>
      <c r="W46" s="7" t="s">
        <v>85</v>
      </c>
    </row>
    <row r="47" spans="1:23" x14ac:dyDescent="0.2">
      <c r="A47" s="1">
        <v>46</v>
      </c>
      <c r="B47">
        <v>384</v>
      </c>
      <c r="C47">
        <v>381</v>
      </c>
      <c r="D47">
        <v>383</v>
      </c>
      <c r="E47">
        <v>385</v>
      </c>
      <c r="F47">
        <v>382</v>
      </c>
      <c r="G47">
        <v>384</v>
      </c>
      <c r="H47">
        <v>389.52604166666669</v>
      </c>
      <c r="I47">
        <v>392.59842519685043</v>
      </c>
      <c r="J47">
        <v>390.54830287206272</v>
      </c>
      <c r="K47">
        <v>42.498218042302717</v>
      </c>
      <c r="L47">
        <v>59.153314607825791</v>
      </c>
      <c r="M47">
        <v>42.493573779540398</v>
      </c>
      <c r="N47">
        <v>156</v>
      </c>
      <c r="O47">
        <v>164</v>
      </c>
      <c r="P47">
        <v>176</v>
      </c>
      <c r="Q47">
        <v>474</v>
      </c>
      <c r="R47">
        <v>1206</v>
      </c>
      <c r="S47">
        <v>567</v>
      </c>
      <c r="T47">
        <v>0</v>
      </c>
      <c r="U47">
        <v>1</v>
      </c>
      <c r="V47">
        <v>0</v>
      </c>
      <c r="W47" s="7" t="s">
        <v>79</v>
      </c>
    </row>
    <row r="48" spans="1:23" x14ac:dyDescent="0.2">
      <c r="A48" s="1">
        <v>47</v>
      </c>
      <c r="B48">
        <v>485</v>
      </c>
      <c r="C48">
        <v>482</v>
      </c>
      <c r="D48">
        <v>430</v>
      </c>
      <c r="E48">
        <v>486</v>
      </c>
      <c r="F48">
        <v>483</v>
      </c>
      <c r="G48">
        <v>431</v>
      </c>
      <c r="H48">
        <v>308.78144329896912</v>
      </c>
      <c r="I48">
        <v>310.65975103734439</v>
      </c>
      <c r="J48">
        <v>348.21627906976738</v>
      </c>
      <c r="K48">
        <v>153.30737256043381</v>
      </c>
      <c r="L48">
        <v>166.2928946690192</v>
      </c>
      <c r="M48">
        <v>258.99503143458321</v>
      </c>
      <c r="N48">
        <v>169</v>
      </c>
      <c r="O48">
        <v>163</v>
      </c>
      <c r="P48">
        <v>159</v>
      </c>
      <c r="Q48">
        <v>2017</v>
      </c>
      <c r="R48">
        <v>2218</v>
      </c>
      <c r="S48">
        <v>3299</v>
      </c>
      <c r="T48">
        <v>4</v>
      </c>
      <c r="U48">
        <v>5</v>
      </c>
      <c r="V48">
        <v>9</v>
      </c>
      <c r="W48" s="7" t="s">
        <v>79</v>
      </c>
    </row>
    <row r="49" spans="1:23" x14ac:dyDescent="0.2">
      <c r="A49" s="1">
        <v>48</v>
      </c>
      <c r="B49">
        <v>76</v>
      </c>
      <c r="C49">
        <v>393</v>
      </c>
      <c r="D49">
        <v>335</v>
      </c>
      <c r="E49">
        <v>77</v>
      </c>
      <c r="F49">
        <v>394</v>
      </c>
      <c r="G49">
        <v>336</v>
      </c>
      <c r="H49">
        <v>1797.9473684210529</v>
      </c>
      <c r="I49">
        <v>380.4580152671756</v>
      </c>
      <c r="J49">
        <v>446.29253731343277</v>
      </c>
      <c r="K49">
        <v>2484.061893457229</v>
      </c>
      <c r="L49">
        <v>163.12543343637711</v>
      </c>
      <c r="M49">
        <v>295.81787229120567</v>
      </c>
      <c r="N49">
        <v>160</v>
      </c>
      <c r="O49">
        <v>255</v>
      </c>
      <c r="P49">
        <v>180</v>
      </c>
      <c r="Q49">
        <v>14111</v>
      </c>
      <c r="R49">
        <v>2544</v>
      </c>
      <c r="S49">
        <v>2699</v>
      </c>
      <c r="T49">
        <v>33</v>
      </c>
      <c r="U49">
        <v>4</v>
      </c>
      <c r="V49">
        <v>16</v>
      </c>
      <c r="W49" s="7" t="s">
        <v>79</v>
      </c>
    </row>
    <row r="50" spans="1:23" x14ac:dyDescent="0.2">
      <c r="A50" s="1">
        <v>49</v>
      </c>
      <c r="B50">
        <v>324</v>
      </c>
      <c r="C50">
        <v>167</v>
      </c>
      <c r="D50">
        <v>179</v>
      </c>
      <c r="E50">
        <v>325</v>
      </c>
      <c r="F50">
        <v>168</v>
      </c>
      <c r="G50">
        <v>180</v>
      </c>
      <c r="H50">
        <v>462.54012345679013</v>
      </c>
      <c r="I50">
        <v>889.40718562874247</v>
      </c>
      <c r="J50">
        <v>837.24022346368713</v>
      </c>
      <c r="K50">
        <v>430.06277343801611</v>
      </c>
      <c r="L50">
        <v>3078.1924561431319</v>
      </c>
      <c r="M50">
        <v>2841.91424119871</v>
      </c>
      <c r="N50">
        <v>153</v>
      </c>
      <c r="O50">
        <v>168</v>
      </c>
      <c r="P50">
        <v>156</v>
      </c>
      <c r="Q50">
        <v>4152</v>
      </c>
      <c r="R50">
        <v>31795</v>
      </c>
      <c r="S50">
        <v>33828</v>
      </c>
      <c r="T50">
        <v>20</v>
      </c>
      <c r="U50">
        <v>22</v>
      </c>
      <c r="V50">
        <v>25</v>
      </c>
      <c r="W50" s="7" t="s">
        <v>86</v>
      </c>
    </row>
    <row r="51" spans="1:23" x14ac:dyDescent="0.2">
      <c r="A51" s="1">
        <v>50</v>
      </c>
      <c r="B51">
        <v>443</v>
      </c>
      <c r="C51">
        <v>442</v>
      </c>
      <c r="D51">
        <v>442</v>
      </c>
      <c r="E51">
        <v>444</v>
      </c>
      <c r="F51">
        <v>443</v>
      </c>
      <c r="G51">
        <v>443</v>
      </c>
      <c r="H51">
        <v>338.18735891647862</v>
      </c>
      <c r="I51">
        <v>338.07918552036199</v>
      </c>
      <c r="J51">
        <v>338.20135746606343</v>
      </c>
      <c r="K51">
        <v>21.960240152006161</v>
      </c>
      <c r="L51">
        <v>33.492823494578261</v>
      </c>
      <c r="M51">
        <v>21.749609905304649</v>
      </c>
      <c r="N51">
        <v>275</v>
      </c>
      <c r="O51">
        <v>229</v>
      </c>
      <c r="P51">
        <v>282</v>
      </c>
      <c r="Q51">
        <v>391</v>
      </c>
      <c r="R51">
        <v>492</v>
      </c>
      <c r="S51">
        <v>392</v>
      </c>
      <c r="T51">
        <v>0</v>
      </c>
      <c r="U51">
        <v>0</v>
      </c>
      <c r="V51">
        <v>0</v>
      </c>
      <c r="W51" s="7" t="s">
        <v>87</v>
      </c>
    </row>
    <row r="52" spans="1:23" x14ac:dyDescent="0.2">
      <c r="A52" s="1">
        <v>51</v>
      </c>
      <c r="B52">
        <v>27</v>
      </c>
      <c r="C52">
        <v>31</v>
      </c>
      <c r="D52">
        <v>369</v>
      </c>
      <c r="E52">
        <v>28</v>
      </c>
      <c r="F52">
        <v>32</v>
      </c>
      <c r="G52">
        <v>370</v>
      </c>
      <c r="H52">
        <v>5127.7407407407409</v>
      </c>
      <c r="I52">
        <v>4796.7741935483873</v>
      </c>
      <c r="J52">
        <v>406.12737127371281</v>
      </c>
      <c r="K52">
        <v>6480.499693415105</v>
      </c>
      <c r="L52">
        <v>4161.1060044950982</v>
      </c>
      <c r="M52">
        <v>272.34108356561001</v>
      </c>
      <c r="N52">
        <v>211</v>
      </c>
      <c r="O52">
        <v>208</v>
      </c>
      <c r="P52">
        <v>152</v>
      </c>
      <c r="Q52">
        <v>30740</v>
      </c>
      <c r="R52">
        <v>17589</v>
      </c>
      <c r="S52">
        <v>5021</v>
      </c>
      <c r="T52">
        <v>19</v>
      </c>
      <c r="U52">
        <v>23</v>
      </c>
      <c r="V52">
        <v>4</v>
      </c>
      <c r="W52" s="7" t="s">
        <v>88</v>
      </c>
    </row>
    <row r="53" spans="1:23" x14ac:dyDescent="0.2">
      <c r="A53" s="1">
        <v>52</v>
      </c>
      <c r="B53">
        <v>391</v>
      </c>
      <c r="C53">
        <v>391</v>
      </c>
      <c r="D53">
        <v>383</v>
      </c>
      <c r="E53">
        <v>392</v>
      </c>
      <c r="F53">
        <v>392</v>
      </c>
      <c r="G53">
        <v>384</v>
      </c>
      <c r="H53">
        <v>381.6777493606138</v>
      </c>
      <c r="I53">
        <v>381.67519181585669</v>
      </c>
      <c r="J53">
        <v>389.65013054830291</v>
      </c>
      <c r="K53">
        <v>51.214766410786027</v>
      </c>
      <c r="L53">
        <v>54.55948880692862</v>
      </c>
      <c r="M53">
        <v>79.558452900954435</v>
      </c>
      <c r="N53">
        <v>153</v>
      </c>
      <c r="O53">
        <v>160</v>
      </c>
      <c r="P53">
        <v>153</v>
      </c>
      <c r="Q53">
        <v>775</v>
      </c>
      <c r="R53">
        <v>876</v>
      </c>
      <c r="S53">
        <v>1143</v>
      </c>
      <c r="T53">
        <v>0</v>
      </c>
      <c r="U53">
        <v>0</v>
      </c>
      <c r="V53">
        <v>1</v>
      </c>
      <c r="W53" s="7" t="s">
        <v>89</v>
      </c>
    </row>
    <row r="54" spans="1:23" x14ac:dyDescent="0.2">
      <c r="A54" s="1">
        <v>53</v>
      </c>
      <c r="B54">
        <v>377</v>
      </c>
      <c r="C54">
        <v>369</v>
      </c>
      <c r="D54">
        <v>373</v>
      </c>
      <c r="E54">
        <v>378</v>
      </c>
      <c r="F54">
        <v>370</v>
      </c>
      <c r="G54">
        <v>374</v>
      </c>
      <c r="H54">
        <v>395.0106100795756</v>
      </c>
      <c r="I54">
        <v>403.56639566395671</v>
      </c>
      <c r="J54">
        <v>399.24128686327077</v>
      </c>
      <c r="K54">
        <v>49.918549550787951</v>
      </c>
      <c r="L54">
        <v>35.998815775594593</v>
      </c>
      <c r="M54">
        <v>37.93607682959918</v>
      </c>
      <c r="N54">
        <v>153</v>
      </c>
      <c r="O54">
        <v>192</v>
      </c>
      <c r="P54">
        <v>161</v>
      </c>
      <c r="Q54">
        <v>571</v>
      </c>
      <c r="R54">
        <v>824</v>
      </c>
      <c r="S54">
        <v>520</v>
      </c>
      <c r="T54">
        <v>0</v>
      </c>
      <c r="U54">
        <v>0</v>
      </c>
      <c r="V54">
        <v>0</v>
      </c>
      <c r="W54" s="7" t="s">
        <v>79</v>
      </c>
    </row>
    <row r="55" spans="1:23" x14ac:dyDescent="0.2">
      <c r="A55" s="1">
        <v>54</v>
      </c>
      <c r="B55">
        <v>396</v>
      </c>
      <c r="C55">
        <v>391</v>
      </c>
      <c r="D55">
        <v>393</v>
      </c>
      <c r="E55">
        <v>397</v>
      </c>
      <c r="F55">
        <v>392</v>
      </c>
      <c r="G55">
        <v>394</v>
      </c>
      <c r="H55">
        <v>378.29292929292927</v>
      </c>
      <c r="I55">
        <v>383.13043478260869</v>
      </c>
      <c r="J55">
        <v>381.18320610687022</v>
      </c>
      <c r="K55">
        <v>44.991757900669498</v>
      </c>
      <c r="L55">
        <v>24.851164540947551</v>
      </c>
      <c r="M55">
        <v>35.38602028388317</v>
      </c>
      <c r="N55">
        <v>151</v>
      </c>
      <c r="O55">
        <v>278</v>
      </c>
      <c r="P55">
        <v>172</v>
      </c>
      <c r="Q55">
        <v>545</v>
      </c>
      <c r="R55">
        <v>476</v>
      </c>
      <c r="S55">
        <v>514</v>
      </c>
      <c r="T55">
        <v>0</v>
      </c>
      <c r="U55">
        <v>0</v>
      </c>
      <c r="V55">
        <v>0</v>
      </c>
      <c r="W55" s="7" t="s">
        <v>90</v>
      </c>
    </row>
    <row r="56" spans="1:23" x14ac:dyDescent="0.2">
      <c r="A56" s="1">
        <v>55</v>
      </c>
      <c r="B56">
        <v>420</v>
      </c>
      <c r="C56">
        <v>34</v>
      </c>
      <c r="D56">
        <v>418</v>
      </c>
      <c r="E56">
        <v>421</v>
      </c>
      <c r="F56">
        <v>35</v>
      </c>
      <c r="G56">
        <v>419</v>
      </c>
      <c r="H56">
        <v>357.00476190476189</v>
      </c>
      <c r="I56">
        <v>4340.8235294117649</v>
      </c>
      <c r="J56">
        <v>358.71291866028707</v>
      </c>
      <c r="K56">
        <v>27.775781009415962</v>
      </c>
      <c r="L56">
        <v>4580.7619286208619</v>
      </c>
      <c r="M56">
        <v>65.513129557811496</v>
      </c>
      <c r="N56">
        <v>173</v>
      </c>
      <c r="O56">
        <v>256</v>
      </c>
      <c r="P56">
        <v>155</v>
      </c>
      <c r="Q56">
        <v>483</v>
      </c>
      <c r="R56">
        <v>20764</v>
      </c>
      <c r="S56">
        <v>1360</v>
      </c>
      <c r="T56">
        <v>0</v>
      </c>
      <c r="U56">
        <v>27</v>
      </c>
      <c r="V56">
        <v>1</v>
      </c>
      <c r="W56" s="7" t="s">
        <v>91</v>
      </c>
    </row>
    <row r="57" spans="1:23" x14ac:dyDescent="0.2">
      <c r="A57" s="1">
        <v>56</v>
      </c>
      <c r="B57">
        <v>417</v>
      </c>
      <c r="C57">
        <v>403</v>
      </c>
      <c r="D57">
        <v>415</v>
      </c>
      <c r="E57">
        <v>418</v>
      </c>
      <c r="F57">
        <v>404</v>
      </c>
      <c r="G57">
        <v>416</v>
      </c>
      <c r="H57">
        <v>358.92805755395682</v>
      </c>
      <c r="I57">
        <v>371.38461538461542</v>
      </c>
      <c r="J57">
        <v>360.64578313253008</v>
      </c>
      <c r="K57">
        <v>16.324374305259539</v>
      </c>
      <c r="L57">
        <v>87.076871520338941</v>
      </c>
      <c r="M57">
        <v>32.330902722046289</v>
      </c>
      <c r="N57">
        <v>318</v>
      </c>
      <c r="O57">
        <v>184</v>
      </c>
      <c r="P57">
        <v>201</v>
      </c>
      <c r="Q57">
        <v>409</v>
      </c>
      <c r="R57">
        <v>1168</v>
      </c>
      <c r="S57">
        <v>713</v>
      </c>
      <c r="T57">
        <v>0</v>
      </c>
      <c r="U57">
        <v>3</v>
      </c>
      <c r="V57">
        <v>0</v>
      </c>
      <c r="W57" s="7" t="s">
        <v>92</v>
      </c>
    </row>
    <row r="58" spans="1:23" x14ac:dyDescent="0.2">
      <c r="A58" s="1">
        <v>57</v>
      </c>
      <c r="B58">
        <v>350</v>
      </c>
      <c r="C58">
        <v>456</v>
      </c>
      <c r="D58">
        <v>451</v>
      </c>
      <c r="E58">
        <v>351</v>
      </c>
      <c r="F58">
        <v>457</v>
      </c>
      <c r="G58">
        <v>452</v>
      </c>
      <c r="H58">
        <v>427.67142857142858</v>
      </c>
      <c r="I58">
        <v>328.19298245614033</v>
      </c>
      <c r="J58">
        <v>331.82705099778269</v>
      </c>
      <c r="K58">
        <v>981.25609112673101</v>
      </c>
      <c r="L58">
        <v>92.577748941079207</v>
      </c>
      <c r="M58">
        <v>128.23527431143319</v>
      </c>
      <c r="N58">
        <v>164</v>
      </c>
      <c r="O58">
        <v>164</v>
      </c>
      <c r="P58">
        <v>153</v>
      </c>
      <c r="Q58">
        <v>15801</v>
      </c>
      <c r="R58">
        <v>1912</v>
      </c>
      <c r="S58">
        <v>2561</v>
      </c>
      <c r="T58">
        <v>8</v>
      </c>
      <c r="U58">
        <v>1</v>
      </c>
      <c r="V58">
        <v>2</v>
      </c>
      <c r="W58" s="7" t="s">
        <v>93</v>
      </c>
    </row>
    <row r="59" spans="1:23" x14ac:dyDescent="0.2">
      <c r="A59" s="1">
        <v>58</v>
      </c>
      <c r="B59">
        <v>443</v>
      </c>
      <c r="C59">
        <v>416</v>
      </c>
      <c r="D59">
        <v>324</v>
      </c>
      <c r="E59">
        <v>444</v>
      </c>
      <c r="F59">
        <v>417</v>
      </c>
      <c r="G59">
        <v>325</v>
      </c>
      <c r="H59">
        <v>338.30022573363431</v>
      </c>
      <c r="I59">
        <v>360.25721153846149</v>
      </c>
      <c r="J59">
        <v>461.59567901234573</v>
      </c>
      <c r="K59">
        <v>42.60709344362315</v>
      </c>
      <c r="L59">
        <v>149.87702170317971</v>
      </c>
      <c r="M59">
        <v>355.87495644570743</v>
      </c>
      <c r="N59">
        <v>171</v>
      </c>
      <c r="O59">
        <v>154</v>
      </c>
      <c r="P59">
        <v>151</v>
      </c>
      <c r="Q59">
        <v>704</v>
      </c>
      <c r="R59">
        <v>2041</v>
      </c>
      <c r="S59">
        <v>2295</v>
      </c>
      <c r="T59">
        <v>0</v>
      </c>
      <c r="U59">
        <v>5</v>
      </c>
      <c r="V59">
        <v>23</v>
      </c>
      <c r="W59" s="7" t="s">
        <v>94</v>
      </c>
    </row>
    <row r="60" spans="1:23" x14ac:dyDescent="0.2">
      <c r="A60" s="1">
        <v>59</v>
      </c>
      <c r="B60">
        <v>358</v>
      </c>
      <c r="C60">
        <v>356</v>
      </c>
      <c r="D60">
        <v>357</v>
      </c>
      <c r="E60">
        <v>359</v>
      </c>
      <c r="F60">
        <v>357</v>
      </c>
      <c r="G60">
        <v>358</v>
      </c>
      <c r="H60">
        <v>418.49441340782118</v>
      </c>
      <c r="I60">
        <v>420.84831460674161</v>
      </c>
      <c r="J60">
        <v>419.66946778711491</v>
      </c>
      <c r="K60">
        <v>1194.79966733622</v>
      </c>
      <c r="L60">
        <v>1197.3303611903179</v>
      </c>
      <c r="M60">
        <v>1204.8411487878211</v>
      </c>
      <c r="N60">
        <v>226</v>
      </c>
      <c r="O60">
        <v>206</v>
      </c>
      <c r="P60">
        <v>200</v>
      </c>
      <c r="Q60">
        <v>22936</v>
      </c>
      <c r="R60">
        <v>22916</v>
      </c>
      <c r="S60">
        <v>23096</v>
      </c>
      <c r="T60">
        <v>2</v>
      </c>
      <c r="U60">
        <v>2</v>
      </c>
      <c r="V60">
        <v>2</v>
      </c>
      <c r="W60" s="7" t="s">
        <v>95</v>
      </c>
    </row>
    <row r="61" spans="1:23" x14ac:dyDescent="0.2">
      <c r="A61" s="1">
        <v>60</v>
      </c>
      <c r="B61">
        <v>396</v>
      </c>
      <c r="C61">
        <v>387</v>
      </c>
      <c r="D61">
        <v>369</v>
      </c>
      <c r="E61">
        <v>397</v>
      </c>
      <c r="F61">
        <v>388</v>
      </c>
      <c r="G61">
        <v>370</v>
      </c>
      <c r="H61">
        <v>377.81313131313129</v>
      </c>
      <c r="I61">
        <v>386.59689922480618</v>
      </c>
      <c r="J61">
        <v>405.45799457994582</v>
      </c>
      <c r="K61">
        <v>115.3731444489725</v>
      </c>
      <c r="L61">
        <v>120.3716730775121</v>
      </c>
      <c r="M61">
        <v>215.61911364943359</v>
      </c>
      <c r="N61">
        <v>210</v>
      </c>
      <c r="O61">
        <v>252</v>
      </c>
      <c r="P61">
        <v>284</v>
      </c>
      <c r="Q61">
        <v>2057</v>
      </c>
      <c r="R61">
        <v>1356</v>
      </c>
      <c r="S61">
        <v>2352</v>
      </c>
      <c r="T61">
        <v>3</v>
      </c>
      <c r="U61">
        <v>7</v>
      </c>
      <c r="V61">
        <v>7</v>
      </c>
      <c r="W61" s="7" t="s">
        <v>96</v>
      </c>
    </row>
    <row r="62" spans="1:23" x14ac:dyDescent="0.2">
      <c r="A62" s="1">
        <v>61</v>
      </c>
      <c r="B62">
        <v>358</v>
      </c>
      <c r="C62">
        <v>359</v>
      </c>
      <c r="D62">
        <v>351</v>
      </c>
      <c r="E62">
        <v>359</v>
      </c>
      <c r="F62">
        <v>360</v>
      </c>
      <c r="G62">
        <v>352</v>
      </c>
      <c r="H62">
        <v>417.35195530726259</v>
      </c>
      <c r="I62">
        <v>416.71030640668522</v>
      </c>
      <c r="J62">
        <v>426.74358974358972</v>
      </c>
      <c r="K62">
        <v>77.561462997964085</v>
      </c>
      <c r="L62">
        <v>69.852515658067759</v>
      </c>
      <c r="M62">
        <v>109.03093824463539</v>
      </c>
      <c r="N62">
        <v>152</v>
      </c>
      <c r="O62">
        <v>152</v>
      </c>
      <c r="P62">
        <v>154</v>
      </c>
      <c r="Q62">
        <v>940</v>
      </c>
      <c r="R62">
        <v>880</v>
      </c>
      <c r="S62">
        <v>1289</v>
      </c>
      <c r="T62">
        <v>0</v>
      </c>
      <c r="U62">
        <v>0</v>
      </c>
      <c r="V62">
        <v>3</v>
      </c>
      <c r="W62" s="7" t="s">
        <v>97</v>
      </c>
    </row>
    <row r="63" spans="1:23" x14ac:dyDescent="0.2">
      <c r="A63" s="1">
        <v>62</v>
      </c>
      <c r="B63">
        <v>437</v>
      </c>
      <c r="C63">
        <v>435</v>
      </c>
      <c r="D63">
        <v>436</v>
      </c>
      <c r="E63">
        <v>438</v>
      </c>
      <c r="F63">
        <v>436</v>
      </c>
      <c r="G63">
        <v>437</v>
      </c>
      <c r="H63">
        <v>341.99542334096111</v>
      </c>
      <c r="I63">
        <v>343.4942528735632</v>
      </c>
      <c r="J63">
        <v>342.70642201834858</v>
      </c>
      <c r="K63">
        <v>28.656538986984689</v>
      </c>
      <c r="L63">
        <v>39.523799504388442</v>
      </c>
      <c r="M63">
        <v>27.55869064246772</v>
      </c>
      <c r="N63">
        <v>263</v>
      </c>
      <c r="O63">
        <v>286</v>
      </c>
      <c r="P63">
        <v>286</v>
      </c>
      <c r="Q63">
        <v>436</v>
      </c>
      <c r="R63">
        <v>983</v>
      </c>
      <c r="S63">
        <v>593</v>
      </c>
      <c r="T63">
        <v>0</v>
      </c>
      <c r="U63">
        <v>0</v>
      </c>
      <c r="V63">
        <v>0</v>
      </c>
      <c r="W63" s="7" t="s">
        <v>98</v>
      </c>
    </row>
    <row r="64" spans="1:23" x14ac:dyDescent="0.2">
      <c r="A64" s="1">
        <v>63</v>
      </c>
      <c r="B64">
        <v>407</v>
      </c>
      <c r="C64">
        <v>393</v>
      </c>
      <c r="D64">
        <v>386</v>
      </c>
      <c r="E64">
        <v>408</v>
      </c>
      <c r="F64">
        <v>394</v>
      </c>
      <c r="G64">
        <v>387</v>
      </c>
      <c r="H64">
        <v>368.15970515970508</v>
      </c>
      <c r="I64">
        <v>381.27480916030532</v>
      </c>
      <c r="J64">
        <v>388.18652849740931</v>
      </c>
      <c r="K64">
        <v>134.88032114591499</v>
      </c>
      <c r="L64">
        <v>154.1780404753647</v>
      </c>
      <c r="M64">
        <v>168.30129576360841</v>
      </c>
      <c r="N64">
        <v>152</v>
      </c>
      <c r="O64">
        <v>154</v>
      </c>
      <c r="P64">
        <v>154</v>
      </c>
      <c r="Q64">
        <v>1498</v>
      </c>
      <c r="R64">
        <v>1768</v>
      </c>
      <c r="S64">
        <v>1768</v>
      </c>
      <c r="T64">
        <v>4</v>
      </c>
      <c r="U64">
        <v>5</v>
      </c>
      <c r="V64">
        <v>7</v>
      </c>
      <c r="W64" s="7" t="s">
        <v>99</v>
      </c>
    </row>
    <row r="65" spans="1:23" x14ac:dyDescent="0.2">
      <c r="A65" s="1">
        <v>64</v>
      </c>
      <c r="B65">
        <v>11</v>
      </c>
      <c r="C65">
        <v>352</v>
      </c>
      <c r="D65">
        <v>344</v>
      </c>
      <c r="E65">
        <v>12</v>
      </c>
      <c r="F65">
        <v>353</v>
      </c>
      <c r="G65">
        <v>345</v>
      </c>
      <c r="H65">
        <v>10472.72727272727</v>
      </c>
      <c r="I65">
        <v>424.36647727272731</v>
      </c>
      <c r="J65">
        <v>434.23546511627899</v>
      </c>
      <c r="K65">
        <v>24052.317951045421</v>
      </c>
      <c r="L65">
        <v>215.51772769959601</v>
      </c>
      <c r="M65">
        <v>282.26978765761112</v>
      </c>
      <c r="N65">
        <v>484</v>
      </c>
      <c r="O65">
        <v>155</v>
      </c>
      <c r="P65">
        <v>164</v>
      </c>
      <c r="Q65">
        <v>81564</v>
      </c>
      <c r="R65">
        <v>2542</v>
      </c>
      <c r="S65">
        <v>3478</v>
      </c>
      <c r="T65">
        <v>8</v>
      </c>
      <c r="U65">
        <v>5</v>
      </c>
      <c r="V65">
        <v>6</v>
      </c>
      <c r="W65" s="7" t="s">
        <v>100</v>
      </c>
    </row>
    <row r="66" spans="1:23" x14ac:dyDescent="0.2">
      <c r="A66" s="1">
        <v>65</v>
      </c>
      <c r="B66">
        <v>441</v>
      </c>
      <c r="C66">
        <v>421</v>
      </c>
      <c r="D66">
        <v>438</v>
      </c>
      <c r="E66">
        <v>442</v>
      </c>
      <c r="F66">
        <v>422</v>
      </c>
      <c r="G66">
        <v>439</v>
      </c>
      <c r="H66">
        <v>339.43310657596368</v>
      </c>
      <c r="I66">
        <v>355.55344418052249</v>
      </c>
      <c r="J66">
        <v>341.75799086757991</v>
      </c>
      <c r="K66">
        <v>58.421903517041663</v>
      </c>
      <c r="L66">
        <v>103.96755500665461</v>
      </c>
      <c r="M66">
        <v>56.146391425415992</v>
      </c>
      <c r="N66">
        <v>160</v>
      </c>
      <c r="O66">
        <v>240</v>
      </c>
      <c r="P66">
        <v>174</v>
      </c>
      <c r="Q66">
        <v>1027</v>
      </c>
      <c r="R66">
        <v>1359</v>
      </c>
      <c r="S66">
        <v>1027</v>
      </c>
      <c r="T66">
        <v>1</v>
      </c>
      <c r="U66">
        <v>2</v>
      </c>
      <c r="V66">
        <v>1</v>
      </c>
      <c r="W66" s="7" t="s">
        <v>79</v>
      </c>
    </row>
    <row r="67" spans="1:23" x14ac:dyDescent="0.2">
      <c r="A67" s="1">
        <v>66</v>
      </c>
      <c r="B67">
        <v>374</v>
      </c>
      <c r="C67">
        <v>364</v>
      </c>
      <c r="D67">
        <v>364</v>
      </c>
      <c r="E67">
        <v>375</v>
      </c>
      <c r="F67">
        <v>365</v>
      </c>
      <c r="G67">
        <v>365</v>
      </c>
      <c r="H67">
        <v>400.9197860962567</v>
      </c>
      <c r="I67">
        <v>410.85439560439562</v>
      </c>
      <c r="J67">
        <v>410.85714285714278</v>
      </c>
      <c r="K67">
        <v>48.187513361055998</v>
      </c>
      <c r="L67">
        <v>106.48715028686659</v>
      </c>
      <c r="M67">
        <v>85.530665185832902</v>
      </c>
      <c r="N67">
        <v>324</v>
      </c>
      <c r="O67">
        <v>173</v>
      </c>
      <c r="P67">
        <v>267</v>
      </c>
      <c r="Q67">
        <v>837</v>
      </c>
      <c r="R67">
        <v>1550</v>
      </c>
      <c r="S67">
        <v>1254</v>
      </c>
      <c r="T67">
        <v>0</v>
      </c>
      <c r="U67">
        <v>4</v>
      </c>
      <c r="V67">
        <v>1</v>
      </c>
      <c r="W67" s="7" t="s">
        <v>101</v>
      </c>
    </row>
    <row r="68" spans="1:23" x14ac:dyDescent="0.2">
      <c r="A68" s="2">
        <v>67</v>
      </c>
      <c r="B68" s="3"/>
      <c r="C68" s="3"/>
      <c r="D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8" t="s">
        <v>51</v>
      </c>
    </row>
    <row r="69" spans="1:23" x14ac:dyDescent="0.2">
      <c r="A69" s="1">
        <v>68</v>
      </c>
      <c r="B69">
        <v>23</v>
      </c>
      <c r="C69">
        <v>413</v>
      </c>
      <c r="D69">
        <v>401</v>
      </c>
      <c r="E69">
        <v>24</v>
      </c>
      <c r="F69">
        <v>414</v>
      </c>
      <c r="G69">
        <v>402</v>
      </c>
      <c r="H69">
        <v>6086.95652173913</v>
      </c>
      <c r="I69">
        <v>363.09200968522998</v>
      </c>
      <c r="J69">
        <v>373.95760598503739</v>
      </c>
      <c r="K69">
        <v>6984.4398843446079</v>
      </c>
      <c r="L69">
        <v>24.362478293910598</v>
      </c>
      <c r="M69">
        <v>93.364102835374382</v>
      </c>
      <c r="N69">
        <v>297</v>
      </c>
      <c r="O69">
        <v>311</v>
      </c>
      <c r="P69">
        <v>160</v>
      </c>
      <c r="Q69">
        <v>29448</v>
      </c>
      <c r="R69">
        <v>670</v>
      </c>
      <c r="S69">
        <v>1347</v>
      </c>
      <c r="T69">
        <v>19</v>
      </c>
      <c r="U69">
        <v>0</v>
      </c>
      <c r="V69">
        <v>3</v>
      </c>
      <c r="W69" s="7" t="s">
        <v>102</v>
      </c>
    </row>
    <row r="70" spans="1:23" x14ac:dyDescent="0.2">
      <c r="A70" s="1">
        <v>69</v>
      </c>
      <c r="B70">
        <v>348</v>
      </c>
      <c r="C70">
        <v>386</v>
      </c>
      <c r="D70">
        <v>376</v>
      </c>
      <c r="E70">
        <v>349</v>
      </c>
      <c r="F70">
        <v>387</v>
      </c>
      <c r="G70">
        <v>377</v>
      </c>
      <c r="H70">
        <v>429.25</v>
      </c>
      <c r="I70">
        <v>386.99222797927462</v>
      </c>
      <c r="J70">
        <v>397.28457446808511</v>
      </c>
      <c r="K70">
        <v>332.69705326425787</v>
      </c>
      <c r="L70">
        <v>214.6672748708516</v>
      </c>
      <c r="M70">
        <v>278.99065958334842</v>
      </c>
      <c r="N70">
        <v>152</v>
      </c>
      <c r="O70">
        <v>166</v>
      </c>
      <c r="P70">
        <v>168</v>
      </c>
      <c r="Q70">
        <v>4308</v>
      </c>
      <c r="R70">
        <v>3251</v>
      </c>
      <c r="S70">
        <v>3251</v>
      </c>
      <c r="T70">
        <v>18</v>
      </c>
      <c r="U70">
        <v>8</v>
      </c>
      <c r="V70">
        <v>8</v>
      </c>
      <c r="W70" s="7" t="s">
        <v>103</v>
      </c>
    </row>
    <row r="71" spans="1:23" x14ac:dyDescent="0.2">
      <c r="A71" s="2">
        <v>70</v>
      </c>
      <c r="B71" s="3"/>
      <c r="C71" s="3"/>
      <c r="D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8" t="s">
        <v>51</v>
      </c>
    </row>
    <row r="72" spans="1:23" x14ac:dyDescent="0.2">
      <c r="A72" s="1">
        <v>71</v>
      </c>
      <c r="B72">
        <v>415</v>
      </c>
      <c r="C72">
        <v>307</v>
      </c>
      <c r="D72">
        <v>337</v>
      </c>
      <c r="E72">
        <v>416</v>
      </c>
      <c r="F72">
        <v>308</v>
      </c>
      <c r="G72">
        <v>338</v>
      </c>
      <c r="H72">
        <v>360.77108433734941</v>
      </c>
      <c r="I72">
        <v>486.01954397394138</v>
      </c>
      <c r="J72">
        <v>444.21364985163211</v>
      </c>
      <c r="K72">
        <v>26.46313875165772</v>
      </c>
      <c r="L72">
        <v>354.07949276749167</v>
      </c>
      <c r="M72">
        <v>353.87057350013941</v>
      </c>
      <c r="N72">
        <v>272</v>
      </c>
      <c r="O72">
        <v>156</v>
      </c>
      <c r="P72">
        <v>181</v>
      </c>
      <c r="Q72">
        <v>440</v>
      </c>
      <c r="R72">
        <v>2560</v>
      </c>
      <c r="S72">
        <v>3457</v>
      </c>
      <c r="T72">
        <v>0</v>
      </c>
      <c r="U72">
        <v>20</v>
      </c>
      <c r="V72">
        <v>16</v>
      </c>
      <c r="W72" s="7" t="s">
        <v>104</v>
      </c>
    </row>
    <row r="73" spans="1:23" x14ac:dyDescent="0.2">
      <c r="A73" s="1">
        <v>72</v>
      </c>
      <c r="B73">
        <v>122</v>
      </c>
      <c r="C73">
        <v>124</v>
      </c>
      <c r="D73">
        <v>123</v>
      </c>
      <c r="E73">
        <v>123</v>
      </c>
      <c r="F73">
        <v>125</v>
      </c>
      <c r="G73">
        <v>124</v>
      </c>
      <c r="H73">
        <v>434.86065573770492</v>
      </c>
      <c r="I73">
        <v>427.83870967741927</v>
      </c>
      <c r="J73">
        <v>431.3170731707317</v>
      </c>
      <c r="K73">
        <v>41.646151206447108</v>
      </c>
      <c r="L73">
        <v>54.812672426037878</v>
      </c>
      <c r="M73">
        <v>47.388232106538076</v>
      </c>
      <c r="N73">
        <v>336</v>
      </c>
      <c r="O73">
        <v>201</v>
      </c>
      <c r="P73">
        <v>188</v>
      </c>
      <c r="Q73">
        <v>583</v>
      </c>
      <c r="R73">
        <v>582</v>
      </c>
      <c r="S73">
        <v>581</v>
      </c>
      <c r="T73">
        <v>0</v>
      </c>
      <c r="U73">
        <v>0</v>
      </c>
      <c r="V73">
        <v>0</v>
      </c>
      <c r="W73" s="7" t="s">
        <v>105</v>
      </c>
    </row>
    <row r="74" spans="1:23" x14ac:dyDescent="0.2">
      <c r="A74" s="2">
        <v>73</v>
      </c>
      <c r="B74" s="3"/>
      <c r="C74" s="3"/>
      <c r="D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8" t="s">
        <v>51</v>
      </c>
    </row>
    <row r="75" spans="1:23" x14ac:dyDescent="0.2">
      <c r="A75" s="1">
        <v>74</v>
      </c>
      <c r="B75">
        <v>345</v>
      </c>
      <c r="C75">
        <v>338</v>
      </c>
      <c r="D75">
        <v>331</v>
      </c>
      <c r="E75">
        <v>346</v>
      </c>
      <c r="F75">
        <v>339</v>
      </c>
      <c r="G75">
        <v>332</v>
      </c>
      <c r="H75">
        <v>434.73333333333329</v>
      </c>
      <c r="I75">
        <v>443.73076923076923</v>
      </c>
      <c r="J75">
        <v>451.67673716012092</v>
      </c>
      <c r="K75">
        <v>179.442284128723</v>
      </c>
      <c r="L75">
        <v>219.12974964848769</v>
      </c>
      <c r="M75">
        <v>254.29229430332509</v>
      </c>
      <c r="N75">
        <v>158</v>
      </c>
      <c r="O75">
        <v>168</v>
      </c>
      <c r="P75">
        <v>155</v>
      </c>
      <c r="Q75">
        <v>2069</v>
      </c>
      <c r="R75">
        <v>2050</v>
      </c>
      <c r="S75">
        <v>2684</v>
      </c>
      <c r="T75">
        <v>8</v>
      </c>
      <c r="U75">
        <v>11</v>
      </c>
      <c r="V75">
        <v>13</v>
      </c>
      <c r="W75" s="7" t="s">
        <v>106</v>
      </c>
    </row>
    <row r="76" spans="1:23" x14ac:dyDescent="0.2">
      <c r="A76" s="1">
        <v>75</v>
      </c>
      <c r="B76">
        <v>381</v>
      </c>
      <c r="C76">
        <v>370</v>
      </c>
      <c r="D76">
        <v>299</v>
      </c>
      <c r="E76">
        <v>382</v>
      </c>
      <c r="F76">
        <v>371</v>
      </c>
      <c r="G76">
        <v>300</v>
      </c>
      <c r="H76">
        <v>393.03149606299212</v>
      </c>
      <c r="I76">
        <v>404.7162162162162</v>
      </c>
      <c r="J76">
        <v>498.00334448160532</v>
      </c>
      <c r="K76">
        <v>117.3397633286307</v>
      </c>
      <c r="L76">
        <v>167.33182069978949</v>
      </c>
      <c r="M76">
        <v>400.47243491870512</v>
      </c>
      <c r="N76">
        <v>153</v>
      </c>
      <c r="O76">
        <v>205</v>
      </c>
      <c r="P76">
        <v>188</v>
      </c>
      <c r="Q76">
        <v>1914</v>
      </c>
      <c r="R76">
        <v>1916</v>
      </c>
      <c r="S76">
        <v>3630</v>
      </c>
      <c r="T76">
        <v>3</v>
      </c>
      <c r="U76">
        <v>8</v>
      </c>
      <c r="V76">
        <v>19</v>
      </c>
      <c r="W76" s="7" t="s">
        <v>107</v>
      </c>
    </row>
    <row r="77" spans="1:23" x14ac:dyDescent="0.2">
      <c r="A77" s="1">
        <v>76</v>
      </c>
      <c r="B77">
        <v>191</v>
      </c>
      <c r="C77">
        <v>172</v>
      </c>
      <c r="D77">
        <v>166</v>
      </c>
      <c r="E77">
        <v>192</v>
      </c>
      <c r="F77">
        <v>173</v>
      </c>
      <c r="G77">
        <v>167</v>
      </c>
      <c r="H77">
        <v>457.08376963350793</v>
      </c>
      <c r="I77">
        <v>507.81395348837208</v>
      </c>
      <c r="J77">
        <v>526.17469879518069</v>
      </c>
      <c r="K77">
        <v>279.39291950948018</v>
      </c>
      <c r="L77">
        <v>366.03898465012401</v>
      </c>
      <c r="M77">
        <v>363.13782285280121</v>
      </c>
      <c r="N77">
        <v>184</v>
      </c>
      <c r="O77">
        <v>169</v>
      </c>
      <c r="P77">
        <v>184</v>
      </c>
      <c r="Q77">
        <v>2336</v>
      </c>
      <c r="R77">
        <v>2457</v>
      </c>
      <c r="S77">
        <v>2030</v>
      </c>
      <c r="T77">
        <v>13</v>
      </c>
      <c r="U77">
        <v>14</v>
      </c>
      <c r="V77">
        <v>16</v>
      </c>
      <c r="W77" s="7" t="s">
        <v>108</v>
      </c>
    </row>
    <row r="78" spans="1:23" x14ac:dyDescent="0.2">
      <c r="A78" s="1">
        <v>77</v>
      </c>
      <c r="B78">
        <v>487</v>
      </c>
      <c r="C78">
        <v>489</v>
      </c>
      <c r="D78">
        <v>489</v>
      </c>
      <c r="E78">
        <v>488</v>
      </c>
      <c r="F78">
        <v>490</v>
      </c>
      <c r="G78">
        <v>490</v>
      </c>
      <c r="H78">
        <v>306.99794661190958</v>
      </c>
      <c r="I78">
        <v>305.75255623721881</v>
      </c>
      <c r="J78">
        <v>305.74846625766872</v>
      </c>
      <c r="K78">
        <v>61.915264642694702</v>
      </c>
      <c r="L78">
        <v>72.679442423798406</v>
      </c>
      <c r="M78">
        <v>57.156315381693972</v>
      </c>
      <c r="N78">
        <v>184</v>
      </c>
      <c r="O78">
        <v>172</v>
      </c>
      <c r="P78">
        <v>235</v>
      </c>
      <c r="Q78">
        <v>1083</v>
      </c>
      <c r="R78">
        <v>1724</v>
      </c>
      <c r="S78">
        <v>1276</v>
      </c>
      <c r="T78">
        <v>1</v>
      </c>
      <c r="U78">
        <v>1</v>
      </c>
      <c r="V78">
        <v>1</v>
      </c>
      <c r="W78" s="7" t="s">
        <v>109</v>
      </c>
    </row>
    <row r="79" spans="1:23" x14ac:dyDescent="0.2">
      <c r="A79" s="1">
        <v>78</v>
      </c>
      <c r="B79">
        <v>155</v>
      </c>
      <c r="C79">
        <v>61</v>
      </c>
      <c r="D79">
        <v>89</v>
      </c>
      <c r="E79">
        <v>156</v>
      </c>
      <c r="F79">
        <v>62</v>
      </c>
      <c r="G79">
        <v>90</v>
      </c>
      <c r="H79">
        <v>385.07096774193548</v>
      </c>
      <c r="I79">
        <v>846.06557377049182</v>
      </c>
      <c r="J79">
        <v>670.57303370786519</v>
      </c>
      <c r="K79">
        <v>98.617660603076715</v>
      </c>
      <c r="L79">
        <v>2412.883060219679</v>
      </c>
      <c r="M79">
        <v>1629.4860657138081</v>
      </c>
      <c r="N79">
        <v>256</v>
      </c>
      <c r="O79">
        <v>189</v>
      </c>
      <c r="P79">
        <v>168</v>
      </c>
      <c r="Q79">
        <v>1307</v>
      </c>
      <c r="R79">
        <v>19058</v>
      </c>
      <c r="S79">
        <v>15392</v>
      </c>
      <c r="T79">
        <v>1</v>
      </c>
      <c r="U79">
        <v>8</v>
      </c>
      <c r="V79">
        <v>7</v>
      </c>
      <c r="W79" s="7" t="s">
        <v>110</v>
      </c>
    </row>
    <row r="80" spans="1:23" x14ac:dyDescent="0.2">
      <c r="A80" s="9">
        <v>79</v>
      </c>
      <c r="B80" s="5">
        <v>190</v>
      </c>
      <c r="C80" s="5">
        <v>158</v>
      </c>
      <c r="D80" s="5">
        <v>129</v>
      </c>
      <c r="E80">
        <v>191</v>
      </c>
      <c r="F80">
        <v>159</v>
      </c>
      <c r="G80">
        <v>130</v>
      </c>
      <c r="H80" s="5">
        <v>447.64210526315787</v>
      </c>
      <c r="I80" s="5">
        <v>527.17721518987344</v>
      </c>
      <c r="J80" s="5">
        <v>642.09302325581393</v>
      </c>
      <c r="K80" s="5">
        <v>224.73532537572919</v>
      </c>
      <c r="L80" s="5">
        <v>419.37266644703499</v>
      </c>
      <c r="M80" s="5">
        <v>758.27343396301956</v>
      </c>
      <c r="N80" s="5">
        <v>180</v>
      </c>
      <c r="O80" s="5">
        <v>154</v>
      </c>
      <c r="P80" s="5">
        <v>156</v>
      </c>
      <c r="Q80" s="5">
        <v>2287</v>
      </c>
      <c r="R80" s="5">
        <v>3499</v>
      </c>
      <c r="S80" s="5">
        <v>5524</v>
      </c>
      <c r="T80" s="5">
        <v>7</v>
      </c>
      <c r="U80" s="5">
        <v>10</v>
      </c>
      <c r="V80" s="5">
        <v>17</v>
      </c>
      <c r="W80" s="10" t="s">
        <v>51</v>
      </c>
    </row>
    <row r="81" spans="1:23" x14ac:dyDescent="0.2">
      <c r="A81" s="1">
        <v>80</v>
      </c>
      <c r="B81">
        <v>441</v>
      </c>
      <c r="C81">
        <v>443</v>
      </c>
      <c r="D81">
        <v>448</v>
      </c>
      <c r="E81">
        <v>442</v>
      </c>
      <c r="F81">
        <v>444</v>
      </c>
      <c r="G81">
        <v>449</v>
      </c>
      <c r="H81">
        <v>339.17460317460319</v>
      </c>
      <c r="I81">
        <v>337.64334085778779</v>
      </c>
      <c r="J81">
        <v>334.63392857142861</v>
      </c>
      <c r="K81">
        <v>62.859720365624</v>
      </c>
      <c r="L81">
        <v>38.020048529307317</v>
      </c>
      <c r="M81">
        <v>36.658163472616067</v>
      </c>
      <c r="N81">
        <v>163</v>
      </c>
      <c r="O81">
        <v>269</v>
      </c>
      <c r="P81">
        <v>244</v>
      </c>
      <c r="Q81">
        <v>778</v>
      </c>
      <c r="R81">
        <v>640</v>
      </c>
      <c r="S81">
        <v>444</v>
      </c>
      <c r="T81">
        <v>0</v>
      </c>
      <c r="U81">
        <v>0</v>
      </c>
      <c r="V81">
        <v>0</v>
      </c>
      <c r="W81" s="7" t="s">
        <v>79</v>
      </c>
    </row>
    <row r="82" spans="1:23" x14ac:dyDescent="0.2">
      <c r="A82" s="1">
        <v>81</v>
      </c>
      <c r="B82">
        <v>277</v>
      </c>
      <c r="C82">
        <v>280</v>
      </c>
      <c r="D82">
        <v>267</v>
      </c>
      <c r="E82">
        <v>278</v>
      </c>
      <c r="F82">
        <v>281</v>
      </c>
      <c r="G82">
        <v>268</v>
      </c>
      <c r="H82">
        <v>396.21660649819489</v>
      </c>
      <c r="I82">
        <v>391.87857142857138</v>
      </c>
      <c r="J82">
        <v>410.95131086142322</v>
      </c>
      <c r="K82">
        <v>180.53560614334191</v>
      </c>
      <c r="L82">
        <v>186.2970406442104</v>
      </c>
      <c r="M82">
        <v>212.45882721024651</v>
      </c>
      <c r="N82">
        <v>153</v>
      </c>
      <c r="O82">
        <v>163</v>
      </c>
      <c r="P82">
        <v>164</v>
      </c>
      <c r="Q82">
        <v>2569</v>
      </c>
      <c r="R82">
        <v>2569</v>
      </c>
      <c r="S82">
        <v>2700</v>
      </c>
      <c r="T82">
        <v>3</v>
      </c>
      <c r="U82">
        <v>4</v>
      </c>
      <c r="V82">
        <v>5</v>
      </c>
      <c r="W82" s="7" t="s">
        <v>111</v>
      </c>
    </row>
    <row r="83" spans="1:23" x14ac:dyDescent="0.2">
      <c r="A83" s="1">
        <v>82</v>
      </c>
      <c r="B83">
        <v>435</v>
      </c>
      <c r="C83">
        <v>413</v>
      </c>
      <c r="D83">
        <v>396</v>
      </c>
      <c r="E83">
        <v>436</v>
      </c>
      <c r="F83">
        <v>414</v>
      </c>
      <c r="G83">
        <v>397</v>
      </c>
      <c r="H83">
        <v>345.3632183908046</v>
      </c>
      <c r="I83">
        <v>363.76029055690071</v>
      </c>
      <c r="J83">
        <v>379.37373737373741</v>
      </c>
      <c r="K83">
        <v>24.619903692355479</v>
      </c>
      <c r="L83">
        <v>141.15168860496101</v>
      </c>
      <c r="M83">
        <v>160.54944178630899</v>
      </c>
      <c r="N83">
        <v>259</v>
      </c>
      <c r="O83">
        <v>157</v>
      </c>
      <c r="P83">
        <v>156</v>
      </c>
      <c r="Q83">
        <v>435</v>
      </c>
      <c r="R83">
        <v>2301</v>
      </c>
      <c r="S83">
        <v>1664</v>
      </c>
      <c r="T83">
        <v>0</v>
      </c>
      <c r="U83">
        <v>3</v>
      </c>
      <c r="V83">
        <v>8</v>
      </c>
      <c r="W83" s="7" t="s">
        <v>79</v>
      </c>
    </row>
    <row r="84" spans="1:23" x14ac:dyDescent="0.2">
      <c r="A84" s="2">
        <v>83</v>
      </c>
      <c r="B84" s="3"/>
      <c r="C84" s="3"/>
      <c r="D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8" t="s">
        <v>51</v>
      </c>
    </row>
    <row r="85" spans="1:23" x14ac:dyDescent="0.2">
      <c r="A85" s="1">
        <v>84</v>
      </c>
      <c r="B85">
        <v>358</v>
      </c>
      <c r="C85">
        <v>362</v>
      </c>
      <c r="D85">
        <v>332</v>
      </c>
      <c r="E85">
        <v>359</v>
      </c>
      <c r="F85">
        <v>363</v>
      </c>
      <c r="G85">
        <v>333</v>
      </c>
      <c r="H85">
        <v>418.22067039106139</v>
      </c>
      <c r="I85">
        <v>413.59944751381221</v>
      </c>
      <c r="J85">
        <v>450.96385542168667</v>
      </c>
      <c r="K85">
        <v>149.99407613922699</v>
      </c>
      <c r="L85">
        <v>115.8660383212398</v>
      </c>
      <c r="M85">
        <v>235.3697840537603</v>
      </c>
      <c r="N85">
        <v>156</v>
      </c>
      <c r="O85">
        <v>171</v>
      </c>
      <c r="P85">
        <v>187</v>
      </c>
      <c r="Q85">
        <v>1608</v>
      </c>
      <c r="R85">
        <v>1574</v>
      </c>
      <c r="S85">
        <v>2568</v>
      </c>
      <c r="T85">
        <v>8</v>
      </c>
      <c r="U85">
        <v>5</v>
      </c>
      <c r="V85">
        <v>10</v>
      </c>
      <c r="W85" s="7" t="s">
        <v>112</v>
      </c>
    </row>
    <row r="86" spans="1:23" x14ac:dyDescent="0.2">
      <c r="A86" s="1">
        <v>85</v>
      </c>
      <c r="B86">
        <v>149</v>
      </c>
      <c r="C86">
        <v>116</v>
      </c>
      <c r="D86">
        <v>129</v>
      </c>
      <c r="E86">
        <v>150</v>
      </c>
      <c r="F86">
        <v>117</v>
      </c>
      <c r="G86">
        <v>130</v>
      </c>
      <c r="H86">
        <v>686.52348993288592</v>
      </c>
      <c r="I86">
        <v>877.57758620689651</v>
      </c>
      <c r="J86">
        <v>791.44186046511629</v>
      </c>
      <c r="K86">
        <v>622.91754241408023</v>
      </c>
      <c r="L86">
        <v>730.88277952507326</v>
      </c>
      <c r="M86">
        <v>742.48588903864811</v>
      </c>
      <c r="N86">
        <v>154</v>
      </c>
      <c r="O86">
        <v>166</v>
      </c>
      <c r="P86">
        <v>151</v>
      </c>
      <c r="Q86">
        <v>4920</v>
      </c>
      <c r="R86">
        <v>4352</v>
      </c>
      <c r="S86">
        <v>5439</v>
      </c>
      <c r="T86">
        <v>32</v>
      </c>
      <c r="U86">
        <v>33</v>
      </c>
      <c r="V86">
        <v>28</v>
      </c>
      <c r="W86" s="7" t="s">
        <v>113</v>
      </c>
    </row>
    <row r="87" spans="1:23" x14ac:dyDescent="0.2">
      <c r="A87" s="1">
        <v>86</v>
      </c>
      <c r="B87">
        <v>399</v>
      </c>
      <c r="C87">
        <v>401</v>
      </c>
      <c r="D87">
        <v>402</v>
      </c>
      <c r="E87">
        <v>400</v>
      </c>
      <c r="F87">
        <v>402</v>
      </c>
      <c r="G87">
        <v>403</v>
      </c>
      <c r="H87">
        <v>375.89724310776938</v>
      </c>
      <c r="I87">
        <v>374.02743142144641</v>
      </c>
      <c r="J87">
        <v>373.09701492537312</v>
      </c>
      <c r="K87">
        <v>35.536335250468852</v>
      </c>
      <c r="L87">
        <v>30.981312845583389</v>
      </c>
      <c r="M87">
        <v>32.9075337362627</v>
      </c>
      <c r="N87">
        <v>312</v>
      </c>
      <c r="O87">
        <v>191</v>
      </c>
      <c r="P87">
        <v>163</v>
      </c>
      <c r="Q87">
        <v>785</v>
      </c>
      <c r="R87">
        <v>481</v>
      </c>
      <c r="S87">
        <v>482</v>
      </c>
      <c r="T87">
        <v>0</v>
      </c>
      <c r="U87">
        <v>0</v>
      </c>
      <c r="V87">
        <v>0</v>
      </c>
      <c r="W87" s="7" t="s">
        <v>114</v>
      </c>
    </row>
    <row r="88" spans="1:23" x14ac:dyDescent="0.2">
      <c r="A88" s="1">
        <v>87</v>
      </c>
      <c r="B88">
        <v>346</v>
      </c>
      <c r="C88">
        <v>283</v>
      </c>
      <c r="D88">
        <v>353</v>
      </c>
      <c r="E88">
        <v>347</v>
      </c>
      <c r="F88">
        <v>284</v>
      </c>
      <c r="G88">
        <v>354</v>
      </c>
      <c r="H88">
        <v>433.42485549132948</v>
      </c>
      <c r="I88">
        <v>527.38515901060066</v>
      </c>
      <c r="J88">
        <v>424.31728045325781</v>
      </c>
      <c r="K88">
        <v>159.06236627788829</v>
      </c>
      <c r="L88">
        <v>441.04239442447391</v>
      </c>
      <c r="M88">
        <v>271.81448628838649</v>
      </c>
      <c r="N88">
        <v>152</v>
      </c>
      <c r="O88">
        <v>166</v>
      </c>
      <c r="P88">
        <v>152</v>
      </c>
      <c r="Q88">
        <v>2004</v>
      </c>
      <c r="R88">
        <v>4164</v>
      </c>
      <c r="S88">
        <v>2675</v>
      </c>
      <c r="T88">
        <v>5</v>
      </c>
      <c r="U88">
        <v>20</v>
      </c>
      <c r="V88">
        <v>9</v>
      </c>
      <c r="W88" s="7" t="s">
        <v>115</v>
      </c>
    </row>
    <row r="89" spans="1:23" x14ac:dyDescent="0.2">
      <c r="A89" s="1">
        <v>88</v>
      </c>
      <c r="B89">
        <v>296</v>
      </c>
      <c r="C89">
        <v>263</v>
      </c>
      <c r="D89">
        <v>152</v>
      </c>
      <c r="E89">
        <v>297</v>
      </c>
      <c r="F89">
        <v>264</v>
      </c>
      <c r="G89">
        <v>153</v>
      </c>
      <c r="H89">
        <v>349.91891891891891</v>
      </c>
      <c r="I89">
        <v>389.76806083650189</v>
      </c>
      <c r="J89">
        <v>682.90131578947364</v>
      </c>
      <c r="K89">
        <v>196.9490517793711</v>
      </c>
      <c r="L89">
        <v>585.90918730626629</v>
      </c>
      <c r="M89">
        <v>1169.57191896892</v>
      </c>
      <c r="N89">
        <v>152</v>
      </c>
      <c r="O89">
        <v>165</v>
      </c>
      <c r="P89">
        <v>159</v>
      </c>
      <c r="Q89">
        <v>2565</v>
      </c>
      <c r="R89">
        <v>9223</v>
      </c>
      <c r="S89">
        <v>9874</v>
      </c>
      <c r="T89">
        <v>6</v>
      </c>
      <c r="U89">
        <v>8</v>
      </c>
      <c r="V89">
        <v>20</v>
      </c>
      <c r="W89" s="7" t="s">
        <v>79</v>
      </c>
    </row>
    <row r="90" spans="1:23" x14ac:dyDescent="0.2">
      <c r="A90" s="1">
        <v>89</v>
      </c>
      <c r="B90">
        <v>84</v>
      </c>
      <c r="C90">
        <v>331</v>
      </c>
      <c r="D90">
        <v>299</v>
      </c>
      <c r="E90">
        <v>85</v>
      </c>
      <c r="F90">
        <v>332</v>
      </c>
      <c r="G90">
        <v>300</v>
      </c>
      <c r="H90">
        <v>1736.214285714286</v>
      </c>
      <c r="I90">
        <v>452.61933534743201</v>
      </c>
      <c r="J90">
        <v>500.88294314381272</v>
      </c>
      <c r="K90">
        <v>4871.8505750707873</v>
      </c>
      <c r="L90">
        <v>62.224764539378853</v>
      </c>
      <c r="M90">
        <v>192.4234607971033</v>
      </c>
      <c r="N90">
        <v>176</v>
      </c>
      <c r="O90">
        <v>175</v>
      </c>
      <c r="P90">
        <v>168</v>
      </c>
      <c r="Q90">
        <v>39736</v>
      </c>
      <c r="R90">
        <v>866</v>
      </c>
      <c r="S90">
        <v>1739</v>
      </c>
      <c r="T90">
        <v>15</v>
      </c>
      <c r="U90">
        <v>0</v>
      </c>
      <c r="V90">
        <v>8</v>
      </c>
      <c r="W90" s="7" t="s">
        <v>116</v>
      </c>
    </row>
    <row r="91" spans="1:23" x14ac:dyDescent="0.2">
      <c r="A91" s="1">
        <v>90</v>
      </c>
      <c r="B91">
        <v>399</v>
      </c>
      <c r="C91">
        <v>397</v>
      </c>
      <c r="D91">
        <v>36</v>
      </c>
      <c r="E91">
        <v>400</v>
      </c>
      <c r="F91">
        <v>398</v>
      </c>
      <c r="G91">
        <v>37</v>
      </c>
      <c r="H91">
        <v>402.7393483709273</v>
      </c>
      <c r="I91">
        <v>404.7758186397985</v>
      </c>
      <c r="J91">
        <v>4310.2222222222226</v>
      </c>
      <c r="K91">
        <v>47.805796736215612</v>
      </c>
      <c r="L91">
        <v>30.035292702495859</v>
      </c>
      <c r="M91">
        <v>6495.2338003057994</v>
      </c>
      <c r="N91">
        <v>152</v>
      </c>
      <c r="O91">
        <v>212</v>
      </c>
      <c r="P91">
        <v>183</v>
      </c>
      <c r="Q91">
        <v>585</v>
      </c>
      <c r="R91">
        <v>479</v>
      </c>
      <c r="S91">
        <v>31291</v>
      </c>
      <c r="T91">
        <v>0</v>
      </c>
      <c r="U91">
        <v>0</v>
      </c>
      <c r="V91">
        <v>22</v>
      </c>
      <c r="W91" s="7" t="s">
        <v>117</v>
      </c>
    </row>
    <row r="93" spans="1:23" x14ac:dyDescent="0.2">
      <c r="A93" s="18" t="s">
        <v>123</v>
      </c>
      <c r="B93" s="17"/>
      <c r="C93" s="17"/>
      <c r="D93" s="17"/>
      <c r="E93" s="17"/>
      <c r="F93" s="17"/>
      <c r="G93" s="17"/>
      <c r="H93" s="17"/>
    </row>
    <row r="94" spans="1:23" x14ac:dyDescent="0.2">
      <c r="A94" s="19" t="s">
        <v>124</v>
      </c>
      <c r="B94" s="17"/>
      <c r="C94" s="17"/>
      <c r="D94" s="17"/>
      <c r="E94" s="17"/>
      <c r="F94" s="17"/>
      <c r="G94" s="17"/>
      <c r="H94" s="17"/>
    </row>
    <row r="97" spans="1:19" x14ac:dyDescent="0.2">
      <c r="A97" t="s">
        <v>155</v>
      </c>
      <c r="H97">
        <f xml:space="preserve"> MEDIAN(H2:H91)</f>
        <v>395.0106100795756</v>
      </c>
      <c r="I97">
        <f t="shared" ref="I97:S97" si="0" xml:space="preserve"> MEDIAN(I2:I91)</f>
        <v>391.02083333333331</v>
      </c>
      <c r="J97">
        <f t="shared" si="0"/>
        <v>402.31989247311827</v>
      </c>
      <c r="K97">
        <f t="shared" si="0"/>
        <v>90.782150207777832</v>
      </c>
      <c r="L97">
        <f t="shared" si="0"/>
        <v>103.96755500665461</v>
      </c>
      <c r="M97">
        <f t="shared" si="0"/>
        <v>137.18738088150329</v>
      </c>
      <c r="N97">
        <f t="shared" si="0"/>
        <v>164</v>
      </c>
      <c r="O97">
        <f t="shared" si="0"/>
        <v>169</v>
      </c>
      <c r="P97">
        <f t="shared" si="0"/>
        <v>164</v>
      </c>
      <c r="Q97">
        <f t="shared" si="0"/>
        <v>1027</v>
      </c>
      <c r="R97">
        <f t="shared" si="0"/>
        <v>1441</v>
      </c>
      <c r="S97">
        <f t="shared" si="0"/>
        <v>1696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V93"/>
  <sheetViews>
    <sheetView topLeftCell="A58" workbookViewId="0">
      <selection activeCell="H93" sqref="H93:Q93"/>
    </sheetView>
  </sheetViews>
  <sheetFormatPr baseColWidth="10" defaultColWidth="8.83203125" defaultRowHeight="15" x14ac:dyDescent="0.2"/>
  <sheetData>
    <row r="1" spans="1:22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561</v>
      </c>
      <c r="C2">
        <v>517</v>
      </c>
      <c r="D2">
        <v>557</v>
      </c>
      <c r="E2">
        <v>562</v>
      </c>
      <c r="F2">
        <v>518</v>
      </c>
      <c r="G2">
        <v>558</v>
      </c>
      <c r="H2">
        <v>219.71657754010701</v>
      </c>
      <c r="I2">
        <v>238.42359767891679</v>
      </c>
      <c r="J2">
        <v>221.29622980251349</v>
      </c>
      <c r="K2">
        <v>30.79233252859494</v>
      </c>
      <c r="L2">
        <v>85.379797095963525</v>
      </c>
      <c r="M2">
        <v>43.882940304733708</v>
      </c>
      <c r="N2">
        <v>162</v>
      </c>
      <c r="O2">
        <v>152</v>
      </c>
      <c r="P2">
        <v>170</v>
      </c>
      <c r="Q2">
        <v>602</v>
      </c>
      <c r="R2">
        <v>1003</v>
      </c>
      <c r="S2">
        <v>834</v>
      </c>
      <c r="T2">
        <v>0</v>
      </c>
      <c r="U2">
        <v>1</v>
      </c>
      <c r="V2">
        <v>0</v>
      </c>
    </row>
    <row r="3" spans="1:22" x14ac:dyDescent="0.2">
      <c r="A3" s="1">
        <v>2</v>
      </c>
      <c r="B3">
        <v>663</v>
      </c>
      <c r="C3">
        <v>666</v>
      </c>
      <c r="D3">
        <v>666</v>
      </c>
      <c r="E3">
        <v>664</v>
      </c>
      <c r="F3">
        <v>667</v>
      </c>
      <c r="G3">
        <v>667</v>
      </c>
      <c r="H3">
        <v>225.81297134238309</v>
      </c>
      <c r="I3">
        <v>224.79729729729729</v>
      </c>
      <c r="J3">
        <v>224.79729729729729</v>
      </c>
      <c r="K3">
        <v>31.888940786439591</v>
      </c>
      <c r="L3">
        <v>13.75169901383536</v>
      </c>
      <c r="M3">
        <v>14.03934509617619</v>
      </c>
      <c r="N3">
        <v>196</v>
      </c>
      <c r="O3">
        <v>177</v>
      </c>
      <c r="P3">
        <v>185</v>
      </c>
      <c r="Q3">
        <v>966</v>
      </c>
      <c r="R3">
        <v>338</v>
      </c>
      <c r="S3">
        <v>339</v>
      </c>
      <c r="T3">
        <v>0</v>
      </c>
      <c r="U3">
        <v>0</v>
      </c>
      <c r="V3">
        <v>0</v>
      </c>
    </row>
    <row r="4" spans="1:22" x14ac:dyDescent="0.2">
      <c r="A4" s="1">
        <v>3</v>
      </c>
      <c r="B4">
        <v>574</v>
      </c>
      <c r="C4">
        <v>574</v>
      </c>
      <c r="D4">
        <v>574</v>
      </c>
      <c r="E4">
        <v>575</v>
      </c>
      <c r="F4">
        <v>575</v>
      </c>
      <c r="G4">
        <v>575</v>
      </c>
      <c r="H4">
        <v>229.8519163763066</v>
      </c>
      <c r="I4">
        <v>229.8519163763066</v>
      </c>
      <c r="J4">
        <v>229.8519163763066</v>
      </c>
      <c r="K4">
        <v>12.684135072365279</v>
      </c>
      <c r="L4">
        <v>12.698298857634891</v>
      </c>
      <c r="M4">
        <v>12.69431259412352</v>
      </c>
      <c r="N4">
        <v>204</v>
      </c>
      <c r="O4">
        <v>203</v>
      </c>
      <c r="P4">
        <v>204</v>
      </c>
      <c r="Q4">
        <v>264</v>
      </c>
      <c r="R4">
        <v>264</v>
      </c>
      <c r="S4">
        <v>264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728</v>
      </c>
      <c r="C5">
        <v>728</v>
      </c>
      <c r="D5">
        <v>728</v>
      </c>
      <c r="E5">
        <v>729</v>
      </c>
      <c r="F5">
        <v>729</v>
      </c>
      <c r="G5">
        <v>729</v>
      </c>
      <c r="H5">
        <v>205.66208791208791</v>
      </c>
      <c r="I5">
        <v>205.66208791208791</v>
      </c>
      <c r="J5">
        <v>205.66346153846149</v>
      </c>
      <c r="K5">
        <v>16.697769523244951</v>
      </c>
      <c r="L5">
        <v>16.693485358255511</v>
      </c>
      <c r="M5">
        <v>16.692647941279521</v>
      </c>
      <c r="N5">
        <v>189</v>
      </c>
      <c r="O5">
        <v>188</v>
      </c>
      <c r="P5">
        <v>189</v>
      </c>
      <c r="Q5">
        <v>600</v>
      </c>
      <c r="R5">
        <v>600</v>
      </c>
      <c r="S5">
        <v>600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628</v>
      </c>
      <c r="C7">
        <v>626</v>
      </c>
      <c r="D7">
        <v>623</v>
      </c>
      <c r="E7">
        <v>629</v>
      </c>
      <c r="F7">
        <v>627</v>
      </c>
      <c r="G7">
        <v>624</v>
      </c>
      <c r="H7">
        <v>238.56528662420379</v>
      </c>
      <c r="I7">
        <v>239.32747603833869</v>
      </c>
      <c r="J7">
        <v>240.47672552166941</v>
      </c>
      <c r="K7">
        <v>21.453645115770911</v>
      </c>
      <c r="L7">
        <v>25.942455316708649</v>
      </c>
      <c r="M7">
        <v>26.516494063653209</v>
      </c>
      <c r="N7">
        <v>190</v>
      </c>
      <c r="O7">
        <v>181</v>
      </c>
      <c r="P7">
        <v>171</v>
      </c>
      <c r="Q7">
        <v>318</v>
      </c>
      <c r="R7">
        <v>612</v>
      </c>
      <c r="S7">
        <v>477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553</v>
      </c>
      <c r="C8">
        <v>489</v>
      </c>
      <c r="D8">
        <v>565</v>
      </c>
      <c r="E8">
        <v>554</v>
      </c>
      <c r="F8">
        <v>490</v>
      </c>
      <c r="G8">
        <v>566</v>
      </c>
      <c r="H8">
        <v>228.10488245931279</v>
      </c>
      <c r="I8">
        <v>258</v>
      </c>
      <c r="J8">
        <v>223.2973451327434</v>
      </c>
      <c r="K8">
        <v>95.841221321408852</v>
      </c>
      <c r="L8">
        <v>159.05390106068751</v>
      </c>
      <c r="M8">
        <v>81.37756811449924</v>
      </c>
      <c r="N8">
        <v>156</v>
      </c>
      <c r="O8">
        <v>152</v>
      </c>
      <c r="P8">
        <v>151</v>
      </c>
      <c r="Q8">
        <v>1071</v>
      </c>
      <c r="R8">
        <v>1562</v>
      </c>
      <c r="S8">
        <v>1258</v>
      </c>
      <c r="T8">
        <v>3</v>
      </c>
      <c r="U8">
        <v>8</v>
      </c>
      <c r="V8">
        <v>1</v>
      </c>
    </row>
    <row r="9" spans="1:22" x14ac:dyDescent="0.2">
      <c r="A9" s="1">
        <v>8</v>
      </c>
      <c r="B9">
        <v>206</v>
      </c>
      <c r="C9">
        <v>254</v>
      </c>
      <c r="D9">
        <v>254</v>
      </c>
      <c r="E9">
        <v>207</v>
      </c>
      <c r="F9">
        <v>255</v>
      </c>
      <c r="G9">
        <v>255</v>
      </c>
      <c r="H9">
        <v>441.88834951456312</v>
      </c>
      <c r="I9">
        <v>359.05905511811022</v>
      </c>
      <c r="J9">
        <v>359.06299212598418</v>
      </c>
      <c r="K9">
        <v>312.96723456679058</v>
      </c>
      <c r="L9">
        <v>37.449735175516487</v>
      </c>
      <c r="M9">
        <v>34.412114796488993</v>
      </c>
      <c r="N9">
        <v>164</v>
      </c>
      <c r="O9">
        <v>206</v>
      </c>
      <c r="P9">
        <v>302</v>
      </c>
      <c r="Q9">
        <v>3477</v>
      </c>
      <c r="R9">
        <v>702</v>
      </c>
      <c r="S9">
        <v>701</v>
      </c>
      <c r="T9">
        <v>7</v>
      </c>
      <c r="U9">
        <v>0</v>
      </c>
      <c r="V9">
        <v>0</v>
      </c>
    </row>
    <row r="10" spans="1:22" x14ac:dyDescent="0.2">
      <c r="A10" s="1">
        <v>9</v>
      </c>
      <c r="B10">
        <v>718</v>
      </c>
      <c r="C10">
        <v>709</v>
      </c>
      <c r="D10">
        <v>719</v>
      </c>
      <c r="E10">
        <v>719</v>
      </c>
      <c r="F10">
        <v>710</v>
      </c>
      <c r="G10">
        <v>720</v>
      </c>
      <c r="H10">
        <v>208.99582172701949</v>
      </c>
      <c r="I10">
        <v>211.9125528913963</v>
      </c>
      <c r="J10">
        <v>208.95966620305981</v>
      </c>
      <c r="K10">
        <v>13.957646008524369</v>
      </c>
      <c r="L10">
        <v>26.89713031233094</v>
      </c>
      <c r="M10">
        <v>13.169340095516439</v>
      </c>
      <c r="N10">
        <v>165</v>
      </c>
      <c r="O10">
        <v>182</v>
      </c>
      <c r="P10">
        <v>183</v>
      </c>
      <c r="Q10">
        <v>297</v>
      </c>
      <c r="R10">
        <v>567</v>
      </c>
      <c r="S10">
        <v>296</v>
      </c>
      <c r="T10">
        <v>0</v>
      </c>
      <c r="U10">
        <v>0</v>
      </c>
      <c r="V10">
        <v>0</v>
      </c>
    </row>
    <row r="11" spans="1:22" x14ac:dyDescent="0.2">
      <c r="A11" s="1">
        <v>10</v>
      </c>
      <c r="B11">
        <v>605</v>
      </c>
      <c r="C11">
        <v>621</v>
      </c>
      <c r="D11">
        <v>623</v>
      </c>
      <c r="E11">
        <v>606</v>
      </c>
      <c r="F11">
        <v>622</v>
      </c>
      <c r="G11">
        <v>624</v>
      </c>
      <c r="H11">
        <v>247.6165289256198</v>
      </c>
      <c r="I11">
        <v>241.23349436392911</v>
      </c>
      <c r="J11">
        <v>240.4606741573034</v>
      </c>
      <c r="K11">
        <v>59.458748495910228</v>
      </c>
      <c r="L11">
        <v>27.992312980451128</v>
      </c>
      <c r="M11">
        <v>23.040324866693769</v>
      </c>
      <c r="N11">
        <v>179</v>
      </c>
      <c r="O11">
        <v>164</v>
      </c>
      <c r="P11">
        <v>200</v>
      </c>
      <c r="Q11">
        <v>951</v>
      </c>
      <c r="R11">
        <v>631</v>
      </c>
      <c r="S11">
        <v>500</v>
      </c>
      <c r="T11">
        <v>0</v>
      </c>
      <c r="U11">
        <v>0</v>
      </c>
      <c r="V11">
        <v>0</v>
      </c>
    </row>
    <row r="12" spans="1:22" x14ac:dyDescent="0.2">
      <c r="A12" s="1">
        <v>11</v>
      </c>
      <c r="B12">
        <v>433</v>
      </c>
      <c r="C12">
        <v>432</v>
      </c>
      <c r="D12">
        <v>428</v>
      </c>
      <c r="E12">
        <v>434</v>
      </c>
      <c r="F12">
        <v>433</v>
      </c>
      <c r="G12">
        <v>429</v>
      </c>
      <c r="H12">
        <v>254.22863741339489</v>
      </c>
      <c r="I12">
        <v>254.81712962962959</v>
      </c>
      <c r="J12">
        <v>257.19859813084111</v>
      </c>
      <c r="K12">
        <v>43.272188830105641</v>
      </c>
      <c r="L12">
        <v>40.901572568907511</v>
      </c>
      <c r="M12">
        <v>39.152261447897139</v>
      </c>
      <c r="N12">
        <v>151</v>
      </c>
      <c r="O12">
        <v>151</v>
      </c>
      <c r="P12">
        <v>154</v>
      </c>
      <c r="Q12">
        <v>512</v>
      </c>
      <c r="R12">
        <v>409</v>
      </c>
      <c r="S12">
        <v>406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377</v>
      </c>
      <c r="C13">
        <v>378</v>
      </c>
      <c r="D13">
        <v>377</v>
      </c>
      <c r="E13">
        <v>378</v>
      </c>
      <c r="F13">
        <v>379</v>
      </c>
      <c r="G13">
        <v>378</v>
      </c>
      <c r="H13">
        <v>397.62334217506628</v>
      </c>
      <c r="I13">
        <v>396.57407407407408</v>
      </c>
      <c r="J13">
        <v>397.61803713527848</v>
      </c>
      <c r="K13">
        <v>3334.6863422769752</v>
      </c>
      <c r="L13">
        <v>3329.9721008007282</v>
      </c>
      <c r="M13">
        <v>3344.9887888202811</v>
      </c>
      <c r="N13">
        <v>174</v>
      </c>
      <c r="O13">
        <v>194</v>
      </c>
      <c r="P13">
        <v>191</v>
      </c>
      <c r="Q13">
        <v>64970</v>
      </c>
      <c r="R13">
        <v>64964</v>
      </c>
      <c r="S13">
        <v>65170</v>
      </c>
      <c r="T13">
        <v>1</v>
      </c>
      <c r="U13">
        <v>1</v>
      </c>
      <c r="V13">
        <v>1</v>
      </c>
    </row>
    <row r="14" spans="1:22" x14ac:dyDescent="0.2">
      <c r="A14" s="1">
        <v>13</v>
      </c>
    </row>
    <row r="15" spans="1:22" x14ac:dyDescent="0.2">
      <c r="A15" s="1">
        <v>14</v>
      </c>
      <c r="B15">
        <v>626</v>
      </c>
      <c r="C15">
        <v>680</v>
      </c>
      <c r="D15">
        <v>593</v>
      </c>
      <c r="E15">
        <v>627</v>
      </c>
      <c r="F15">
        <v>681</v>
      </c>
      <c r="G15">
        <v>594</v>
      </c>
      <c r="H15">
        <v>239.2332268370607</v>
      </c>
      <c r="I15">
        <v>220.2294117647059</v>
      </c>
      <c r="J15">
        <v>252.4924114671164</v>
      </c>
      <c r="K15">
        <v>75.142126122507761</v>
      </c>
      <c r="L15">
        <v>29.280679485139959</v>
      </c>
      <c r="M15">
        <v>139.6455347106172</v>
      </c>
      <c r="N15">
        <v>151</v>
      </c>
      <c r="O15">
        <v>182</v>
      </c>
      <c r="P15">
        <v>155</v>
      </c>
      <c r="Q15">
        <v>942</v>
      </c>
      <c r="R15">
        <v>675</v>
      </c>
      <c r="S15">
        <v>1989</v>
      </c>
      <c r="T15">
        <v>0</v>
      </c>
      <c r="U15">
        <v>0</v>
      </c>
      <c r="V15">
        <v>5</v>
      </c>
    </row>
    <row r="16" spans="1:22" x14ac:dyDescent="0.2">
      <c r="A16" s="1">
        <v>15</v>
      </c>
      <c r="B16">
        <v>641</v>
      </c>
      <c r="C16">
        <v>643</v>
      </c>
      <c r="D16">
        <v>645</v>
      </c>
      <c r="E16">
        <v>642</v>
      </c>
      <c r="F16">
        <v>644</v>
      </c>
      <c r="G16">
        <v>646</v>
      </c>
      <c r="H16">
        <v>233.29017160686431</v>
      </c>
      <c r="I16">
        <v>232.56454121306379</v>
      </c>
      <c r="J16">
        <v>231.84341085271319</v>
      </c>
      <c r="K16">
        <v>28.982700337904252</v>
      </c>
      <c r="L16">
        <v>33.475151698153972</v>
      </c>
      <c r="M16">
        <v>20.019834283668139</v>
      </c>
      <c r="N16">
        <v>152</v>
      </c>
      <c r="O16">
        <v>192</v>
      </c>
      <c r="P16">
        <v>192</v>
      </c>
      <c r="Q16">
        <v>679</v>
      </c>
      <c r="R16">
        <v>955</v>
      </c>
      <c r="S16">
        <v>467</v>
      </c>
      <c r="T16">
        <v>0</v>
      </c>
      <c r="U16">
        <v>0</v>
      </c>
      <c r="V16">
        <v>0</v>
      </c>
    </row>
    <row r="17" spans="1:22" x14ac:dyDescent="0.2">
      <c r="A17" s="1">
        <v>16</v>
      </c>
      <c r="B17">
        <v>463</v>
      </c>
      <c r="C17">
        <v>278</v>
      </c>
      <c r="D17">
        <v>364</v>
      </c>
      <c r="E17">
        <v>464</v>
      </c>
      <c r="F17">
        <v>279</v>
      </c>
      <c r="G17">
        <v>365</v>
      </c>
      <c r="H17">
        <v>212.40172786177109</v>
      </c>
      <c r="I17">
        <v>353.06115107913672</v>
      </c>
      <c r="J17">
        <v>270.16483516483521</v>
      </c>
      <c r="K17">
        <v>61.895514503255811</v>
      </c>
      <c r="L17">
        <v>348.88169956357268</v>
      </c>
      <c r="M17">
        <v>167.92548942819039</v>
      </c>
      <c r="N17">
        <v>153</v>
      </c>
      <c r="O17">
        <v>153</v>
      </c>
      <c r="P17">
        <v>153</v>
      </c>
      <c r="Q17">
        <v>1092</v>
      </c>
      <c r="R17">
        <v>2613</v>
      </c>
      <c r="S17">
        <v>1807</v>
      </c>
      <c r="T17">
        <v>1</v>
      </c>
      <c r="U17">
        <v>11</v>
      </c>
      <c r="V17">
        <v>3</v>
      </c>
    </row>
    <row r="18" spans="1:22" x14ac:dyDescent="0.2">
      <c r="A18" s="1">
        <v>17</v>
      </c>
      <c r="B18">
        <v>689</v>
      </c>
      <c r="C18">
        <v>225</v>
      </c>
      <c r="D18">
        <v>75</v>
      </c>
      <c r="E18">
        <v>690</v>
      </c>
      <c r="F18">
        <v>226</v>
      </c>
      <c r="G18">
        <v>76</v>
      </c>
      <c r="H18">
        <v>217.01306240928881</v>
      </c>
      <c r="I18">
        <v>664.54222222222222</v>
      </c>
      <c r="J18">
        <v>1930</v>
      </c>
      <c r="K18">
        <v>32.593356132948017</v>
      </c>
      <c r="L18">
        <v>1563.6851417531859</v>
      </c>
      <c r="M18">
        <v>2405.7173847181498</v>
      </c>
      <c r="N18">
        <v>166</v>
      </c>
      <c r="O18">
        <v>152</v>
      </c>
      <c r="P18">
        <v>180</v>
      </c>
      <c r="Q18">
        <v>620</v>
      </c>
      <c r="R18">
        <v>21225</v>
      </c>
      <c r="S18">
        <v>11132</v>
      </c>
      <c r="T18">
        <v>0</v>
      </c>
      <c r="U18">
        <v>31</v>
      </c>
      <c r="V18">
        <v>37</v>
      </c>
    </row>
    <row r="19" spans="1:22" x14ac:dyDescent="0.2">
      <c r="A19" s="1">
        <v>18</v>
      </c>
    </row>
    <row r="20" spans="1:22" x14ac:dyDescent="0.2">
      <c r="A20" s="1">
        <v>19</v>
      </c>
      <c r="B20">
        <v>647</v>
      </c>
      <c r="C20">
        <v>644</v>
      </c>
      <c r="D20">
        <v>626</v>
      </c>
      <c r="E20">
        <v>648</v>
      </c>
      <c r="F20">
        <v>645</v>
      </c>
      <c r="G20">
        <v>627</v>
      </c>
      <c r="H20">
        <v>231.6599690880989</v>
      </c>
      <c r="I20">
        <v>232.73757763975149</v>
      </c>
      <c r="J20">
        <v>239.0623003194888</v>
      </c>
      <c r="K20">
        <v>26.724636226208801</v>
      </c>
      <c r="L20">
        <v>28.007848561774281</v>
      </c>
      <c r="M20">
        <v>58.072238741588592</v>
      </c>
      <c r="N20">
        <v>188</v>
      </c>
      <c r="O20">
        <v>172</v>
      </c>
      <c r="P20">
        <v>176</v>
      </c>
      <c r="Q20">
        <v>849</v>
      </c>
      <c r="R20">
        <v>687</v>
      </c>
      <c r="S20">
        <v>1008</v>
      </c>
      <c r="T20">
        <v>0</v>
      </c>
      <c r="U20">
        <v>0</v>
      </c>
      <c r="V20">
        <v>1</v>
      </c>
    </row>
    <row r="21" spans="1:22" x14ac:dyDescent="0.2">
      <c r="A21" s="1">
        <v>20</v>
      </c>
    </row>
    <row r="22" spans="1:22" x14ac:dyDescent="0.2">
      <c r="A22" s="1">
        <v>21</v>
      </c>
      <c r="B22">
        <v>589</v>
      </c>
      <c r="C22">
        <v>591</v>
      </c>
      <c r="D22">
        <v>591</v>
      </c>
      <c r="E22">
        <v>590</v>
      </c>
      <c r="F22">
        <v>592</v>
      </c>
      <c r="G22">
        <v>592</v>
      </c>
      <c r="H22">
        <v>254.50594227504249</v>
      </c>
      <c r="I22">
        <v>253.64128595600681</v>
      </c>
      <c r="J22">
        <v>253.64297800338409</v>
      </c>
      <c r="K22">
        <v>21.37585695469734</v>
      </c>
      <c r="L22">
        <v>15.05987781157093</v>
      </c>
      <c r="M22">
        <v>15.14369972252342</v>
      </c>
      <c r="N22">
        <v>193</v>
      </c>
      <c r="O22">
        <v>214</v>
      </c>
      <c r="P22">
        <v>210</v>
      </c>
      <c r="Q22">
        <v>530</v>
      </c>
      <c r="R22">
        <v>301</v>
      </c>
      <c r="S22">
        <v>301</v>
      </c>
      <c r="T22">
        <v>0</v>
      </c>
      <c r="U22">
        <v>0</v>
      </c>
      <c r="V22">
        <v>0</v>
      </c>
    </row>
    <row r="23" spans="1:22" x14ac:dyDescent="0.2">
      <c r="A23" s="1">
        <v>22</v>
      </c>
      <c r="B23">
        <v>669</v>
      </c>
      <c r="C23">
        <v>667</v>
      </c>
      <c r="D23">
        <v>668</v>
      </c>
      <c r="E23">
        <v>670</v>
      </c>
      <c r="F23">
        <v>668</v>
      </c>
      <c r="G23">
        <v>669</v>
      </c>
      <c r="H23">
        <v>224.08968609865471</v>
      </c>
      <c r="I23">
        <v>224.76161919040479</v>
      </c>
      <c r="J23">
        <v>224.42514970059881</v>
      </c>
      <c r="K23">
        <v>17.406405784264251</v>
      </c>
      <c r="L23">
        <v>17.345590670040739</v>
      </c>
      <c r="M23">
        <v>15.42303314046621</v>
      </c>
      <c r="N23">
        <v>165</v>
      </c>
      <c r="O23">
        <v>184</v>
      </c>
      <c r="P23">
        <v>165</v>
      </c>
      <c r="Q23">
        <v>286</v>
      </c>
      <c r="R23">
        <v>407</v>
      </c>
      <c r="S23">
        <v>332</v>
      </c>
      <c r="T23">
        <v>0</v>
      </c>
      <c r="U23">
        <v>0</v>
      </c>
      <c r="V23">
        <v>0</v>
      </c>
    </row>
    <row r="24" spans="1:22" x14ac:dyDescent="0.2">
      <c r="A24" s="1">
        <v>23</v>
      </c>
      <c r="B24">
        <v>619</v>
      </c>
      <c r="C24">
        <v>620</v>
      </c>
      <c r="D24">
        <v>620</v>
      </c>
      <c r="E24">
        <v>620</v>
      </c>
      <c r="F24">
        <v>621</v>
      </c>
      <c r="G24">
        <v>621</v>
      </c>
      <c r="H24">
        <v>242.0306946688207</v>
      </c>
      <c r="I24">
        <v>241.6338709677419</v>
      </c>
      <c r="J24">
        <v>241.63709677419351</v>
      </c>
      <c r="K24">
        <v>22.562979702967539</v>
      </c>
      <c r="L24">
        <v>20.444253716675231</v>
      </c>
      <c r="M24">
        <v>20.496476972746692</v>
      </c>
      <c r="N24">
        <v>189</v>
      </c>
      <c r="O24">
        <v>211</v>
      </c>
      <c r="P24">
        <v>211</v>
      </c>
      <c r="Q24">
        <v>476</v>
      </c>
      <c r="R24">
        <v>485</v>
      </c>
      <c r="S24">
        <v>485</v>
      </c>
      <c r="T24">
        <v>0</v>
      </c>
      <c r="U24">
        <v>0</v>
      </c>
      <c r="V24">
        <v>0</v>
      </c>
    </row>
    <row r="25" spans="1:22" x14ac:dyDescent="0.2">
      <c r="A25" s="1">
        <v>24</v>
      </c>
    </row>
    <row r="26" spans="1:22" x14ac:dyDescent="0.2">
      <c r="A26" s="1">
        <v>25</v>
      </c>
      <c r="B26">
        <v>669</v>
      </c>
      <c r="C26">
        <v>717</v>
      </c>
      <c r="D26">
        <v>709</v>
      </c>
      <c r="E26">
        <v>670</v>
      </c>
      <c r="F26">
        <v>718</v>
      </c>
      <c r="G26">
        <v>710</v>
      </c>
      <c r="H26">
        <v>223.9745889387145</v>
      </c>
      <c r="I26">
        <v>209.0153417015342</v>
      </c>
      <c r="J26">
        <v>211.37235543018329</v>
      </c>
      <c r="K26">
        <v>70.03981510981238</v>
      </c>
      <c r="L26">
        <v>17.206470104744881</v>
      </c>
      <c r="M26">
        <v>31.30196691908408</v>
      </c>
      <c r="N26">
        <v>155</v>
      </c>
      <c r="O26">
        <v>172</v>
      </c>
      <c r="P26">
        <v>172</v>
      </c>
      <c r="Q26">
        <v>1032</v>
      </c>
      <c r="R26">
        <v>357</v>
      </c>
      <c r="S26">
        <v>709</v>
      </c>
      <c r="T26">
        <v>1</v>
      </c>
      <c r="U26">
        <v>0</v>
      </c>
      <c r="V26">
        <v>0</v>
      </c>
    </row>
    <row r="27" spans="1:22" x14ac:dyDescent="0.2">
      <c r="A27" s="1">
        <v>26</v>
      </c>
      <c r="B27">
        <v>641</v>
      </c>
      <c r="C27">
        <v>613</v>
      </c>
      <c r="D27">
        <v>505</v>
      </c>
      <c r="E27">
        <v>642</v>
      </c>
      <c r="F27">
        <v>614</v>
      </c>
      <c r="G27">
        <v>506</v>
      </c>
      <c r="H27">
        <v>233.78939157566299</v>
      </c>
      <c r="I27">
        <v>244.46818923327899</v>
      </c>
      <c r="J27">
        <v>296.29108910891091</v>
      </c>
      <c r="K27">
        <v>64.151585228157003</v>
      </c>
      <c r="L27">
        <v>93.358037956715492</v>
      </c>
      <c r="M27">
        <v>195.26597758895889</v>
      </c>
      <c r="N27">
        <v>170</v>
      </c>
      <c r="O27">
        <v>162</v>
      </c>
      <c r="P27">
        <v>151</v>
      </c>
      <c r="Q27">
        <v>942</v>
      </c>
      <c r="R27">
        <v>1299</v>
      </c>
      <c r="S27">
        <v>2036</v>
      </c>
      <c r="T27">
        <v>0</v>
      </c>
      <c r="U27">
        <v>2</v>
      </c>
      <c r="V27">
        <v>10</v>
      </c>
    </row>
    <row r="28" spans="1:22" x14ac:dyDescent="0.2">
      <c r="A28" s="1">
        <v>27</v>
      </c>
      <c r="B28">
        <v>655</v>
      </c>
      <c r="C28">
        <v>654</v>
      </c>
      <c r="D28">
        <v>649</v>
      </c>
      <c r="E28">
        <v>656</v>
      </c>
      <c r="F28">
        <v>655</v>
      </c>
      <c r="G28">
        <v>650</v>
      </c>
      <c r="H28">
        <v>228.91603053435111</v>
      </c>
      <c r="I28">
        <v>228.9250764525994</v>
      </c>
      <c r="J28">
        <v>231.0338983050847</v>
      </c>
      <c r="K28">
        <v>15.957243218380951</v>
      </c>
      <c r="L28">
        <v>15.934462288766589</v>
      </c>
      <c r="M28">
        <v>24.282266755005541</v>
      </c>
      <c r="N28">
        <v>184</v>
      </c>
      <c r="O28">
        <v>184</v>
      </c>
      <c r="P28">
        <v>167</v>
      </c>
      <c r="Q28">
        <v>288</v>
      </c>
      <c r="R28">
        <v>288</v>
      </c>
      <c r="S28">
        <v>465</v>
      </c>
      <c r="T28">
        <v>0</v>
      </c>
      <c r="U28">
        <v>0</v>
      </c>
      <c r="V28">
        <v>0</v>
      </c>
    </row>
    <row r="29" spans="1:22" x14ac:dyDescent="0.2">
      <c r="A29" s="1">
        <v>28</v>
      </c>
      <c r="B29">
        <v>673</v>
      </c>
      <c r="C29">
        <v>675</v>
      </c>
      <c r="D29">
        <v>676</v>
      </c>
      <c r="E29">
        <v>674</v>
      </c>
      <c r="F29">
        <v>676</v>
      </c>
      <c r="G29">
        <v>677</v>
      </c>
      <c r="H29">
        <v>222.32243684992571</v>
      </c>
      <c r="I29">
        <v>221.97777777777779</v>
      </c>
      <c r="J29">
        <v>221.64644970414199</v>
      </c>
      <c r="K29">
        <v>29.985339453609061</v>
      </c>
      <c r="L29">
        <v>28.19481471222635</v>
      </c>
      <c r="M29">
        <v>22.72627787155751</v>
      </c>
      <c r="N29">
        <v>184</v>
      </c>
      <c r="O29">
        <v>192</v>
      </c>
      <c r="P29">
        <v>192</v>
      </c>
      <c r="Q29">
        <v>694</v>
      </c>
      <c r="R29">
        <v>683</v>
      </c>
      <c r="S29">
        <v>670</v>
      </c>
      <c r="T29">
        <v>0</v>
      </c>
      <c r="U29">
        <v>0</v>
      </c>
      <c r="V29">
        <v>0</v>
      </c>
    </row>
    <row r="30" spans="1:22" x14ac:dyDescent="0.2">
      <c r="A30" s="1">
        <v>29</v>
      </c>
    </row>
    <row r="31" spans="1:22" x14ac:dyDescent="0.2">
      <c r="A31" s="1">
        <v>30</v>
      </c>
      <c r="B31">
        <v>695</v>
      </c>
      <c r="C31">
        <v>648</v>
      </c>
      <c r="D31">
        <v>687</v>
      </c>
      <c r="E31">
        <v>696</v>
      </c>
      <c r="F31">
        <v>649</v>
      </c>
      <c r="G31">
        <v>688</v>
      </c>
      <c r="H31">
        <v>215.3064748201439</v>
      </c>
      <c r="I31">
        <v>230.87037037037041</v>
      </c>
      <c r="J31">
        <v>217.81513828238721</v>
      </c>
      <c r="K31">
        <v>40.280889141904566</v>
      </c>
      <c r="L31">
        <v>83.619280656701534</v>
      </c>
      <c r="M31">
        <v>50.482417956006543</v>
      </c>
      <c r="N31">
        <v>178</v>
      </c>
      <c r="O31">
        <v>160</v>
      </c>
      <c r="P31">
        <v>166</v>
      </c>
      <c r="Q31">
        <v>812</v>
      </c>
      <c r="R31">
        <v>852</v>
      </c>
      <c r="S31">
        <v>811</v>
      </c>
      <c r="T31">
        <v>0</v>
      </c>
      <c r="U31">
        <v>0</v>
      </c>
      <c r="V31">
        <v>0</v>
      </c>
    </row>
    <row r="32" spans="1:22" x14ac:dyDescent="0.2">
      <c r="A32" s="1">
        <v>31</v>
      </c>
      <c r="B32">
        <v>542</v>
      </c>
      <c r="C32">
        <v>501</v>
      </c>
      <c r="D32">
        <v>559</v>
      </c>
      <c r="E32">
        <v>543</v>
      </c>
      <c r="F32">
        <v>502</v>
      </c>
      <c r="G32">
        <v>560</v>
      </c>
      <c r="H32">
        <v>275.76752767527682</v>
      </c>
      <c r="I32">
        <v>298.33333333333331</v>
      </c>
      <c r="J32">
        <v>267.37924865831837</v>
      </c>
      <c r="K32">
        <v>86.545882913799971</v>
      </c>
      <c r="L32">
        <v>156.81545417039311</v>
      </c>
      <c r="M32">
        <v>48.640985993613349</v>
      </c>
      <c r="N32">
        <v>216</v>
      </c>
      <c r="O32">
        <v>177</v>
      </c>
      <c r="P32">
        <v>187</v>
      </c>
      <c r="Q32">
        <v>1243</v>
      </c>
      <c r="R32">
        <v>1679</v>
      </c>
      <c r="S32">
        <v>748</v>
      </c>
      <c r="T32">
        <v>2</v>
      </c>
      <c r="U32">
        <v>9</v>
      </c>
      <c r="V32">
        <v>0</v>
      </c>
    </row>
    <row r="33" spans="1:22" x14ac:dyDescent="0.2">
      <c r="A33" s="1">
        <v>32</v>
      </c>
      <c r="B33">
        <v>619</v>
      </c>
      <c r="C33">
        <v>620</v>
      </c>
      <c r="D33">
        <v>619</v>
      </c>
      <c r="E33">
        <v>620</v>
      </c>
      <c r="F33">
        <v>621</v>
      </c>
      <c r="G33">
        <v>620</v>
      </c>
      <c r="H33">
        <v>242.01130856219709</v>
      </c>
      <c r="I33">
        <v>241.62096774193549</v>
      </c>
      <c r="J33">
        <v>242.00969305331179</v>
      </c>
      <c r="K33">
        <v>21.70130120179979</v>
      </c>
      <c r="L33">
        <v>14.72131681237774</v>
      </c>
      <c r="M33">
        <v>17.55140124969973</v>
      </c>
      <c r="N33">
        <v>152</v>
      </c>
      <c r="O33">
        <v>204</v>
      </c>
      <c r="P33">
        <v>203</v>
      </c>
      <c r="Q33">
        <v>431</v>
      </c>
      <c r="R33">
        <v>295</v>
      </c>
      <c r="S33">
        <v>477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681</v>
      </c>
      <c r="C34">
        <v>510</v>
      </c>
      <c r="D34">
        <v>676</v>
      </c>
      <c r="E34">
        <v>682</v>
      </c>
      <c r="F34">
        <v>511</v>
      </c>
      <c r="G34">
        <v>677</v>
      </c>
      <c r="H34">
        <v>219.96769456681349</v>
      </c>
      <c r="I34">
        <v>292.53333333333342</v>
      </c>
      <c r="J34">
        <v>221.59763313609469</v>
      </c>
      <c r="K34">
        <v>15.61010651509001</v>
      </c>
      <c r="L34">
        <v>143.29633886971541</v>
      </c>
      <c r="M34">
        <v>28.175391317089769</v>
      </c>
      <c r="N34">
        <v>192</v>
      </c>
      <c r="O34">
        <v>152</v>
      </c>
      <c r="P34">
        <v>170</v>
      </c>
      <c r="Q34">
        <v>329</v>
      </c>
      <c r="R34">
        <v>1384</v>
      </c>
      <c r="S34">
        <v>612</v>
      </c>
      <c r="T34">
        <v>0</v>
      </c>
      <c r="U34">
        <v>4</v>
      </c>
      <c r="V34">
        <v>0</v>
      </c>
    </row>
    <row r="35" spans="1:22" x14ac:dyDescent="0.2">
      <c r="A35" s="1">
        <v>34</v>
      </c>
      <c r="B35">
        <v>556</v>
      </c>
      <c r="C35">
        <v>508</v>
      </c>
      <c r="D35">
        <v>538</v>
      </c>
      <c r="E35">
        <v>557</v>
      </c>
      <c r="F35">
        <v>509</v>
      </c>
      <c r="G35">
        <v>539</v>
      </c>
      <c r="H35">
        <v>201.59892086330939</v>
      </c>
      <c r="I35">
        <v>220.6259842519685</v>
      </c>
      <c r="J35">
        <v>208.34200743494421</v>
      </c>
      <c r="K35">
        <v>20.069499037747761</v>
      </c>
      <c r="L35">
        <v>61.45511883626326</v>
      </c>
      <c r="M35">
        <v>33.721807195143953</v>
      </c>
      <c r="N35">
        <v>168</v>
      </c>
      <c r="O35">
        <v>169</v>
      </c>
      <c r="P35">
        <v>169</v>
      </c>
      <c r="Q35">
        <v>347</v>
      </c>
      <c r="R35">
        <v>694</v>
      </c>
      <c r="S35">
        <v>391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599</v>
      </c>
      <c r="C36">
        <v>598</v>
      </c>
      <c r="D36">
        <v>594</v>
      </c>
      <c r="E36">
        <v>600</v>
      </c>
      <c r="F36">
        <v>599</v>
      </c>
      <c r="G36">
        <v>595</v>
      </c>
      <c r="H36">
        <v>249.76961602671119</v>
      </c>
      <c r="I36">
        <v>250.18729096989969</v>
      </c>
      <c r="J36">
        <v>251.81144781144781</v>
      </c>
      <c r="K36">
        <v>20.802953828228539</v>
      </c>
      <c r="L36">
        <v>25.22624671452591</v>
      </c>
      <c r="M36">
        <v>34.19680374586477</v>
      </c>
      <c r="N36">
        <v>183</v>
      </c>
      <c r="O36">
        <v>196</v>
      </c>
      <c r="P36">
        <v>183</v>
      </c>
      <c r="Q36">
        <v>424</v>
      </c>
      <c r="R36">
        <v>730</v>
      </c>
      <c r="S36">
        <v>495</v>
      </c>
      <c r="T36">
        <v>0</v>
      </c>
      <c r="U36">
        <v>0</v>
      </c>
      <c r="V36">
        <v>0</v>
      </c>
    </row>
    <row r="37" spans="1:22" x14ac:dyDescent="0.2">
      <c r="A37" s="1">
        <v>36</v>
      </c>
      <c r="B37">
        <v>670</v>
      </c>
      <c r="C37">
        <v>531</v>
      </c>
      <c r="D37">
        <v>601</v>
      </c>
      <c r="E37">
        <v>671</v>
      </c>
      <c r="F37">
        <v>532</v>
      </c>
      <c r="G37">
        <v>602</v>
      </c>
      <c r="H37">
        <v>219.84477611940301</v>
      </c>
      <c r="I37">
        <v>277.4161958568738</v>
      </c>
      <c r="J37">
        <v>245.0831946755408</v>
      </c>
      <c r="K37">
        <v>39.323309318766633</v>
      </c>
      <c r="L37">
        <v>187.39478567842659</v>
      </c>
      <c r="M37">
        <v>95.553910091513458</v>
      </c>
      <c r="N37">
        <v>164</v>
      </c>
      <c r="O37">
        <v>157</v>
      </c>
      <c r="P37">
        <v>155</v>
      </c>
      <c r="Q37">
        <v>770</v>
      </c>
      <c r="R37">
        <v>2740</v>
      </c>
      <c r="S37">
        <v>1611</v>
      </c>
      <c r="T37">
        <v>0</v>
      </c>
      <c r="U37">
        <v>5</v>
      </c>
      <c r="V37">
        <v>1</v>
      </c>
    </row>
    <row r="38" spans="1:22" x14ac:dyDescent="0.2">
      <c r="A38" s="1">
        <v>37</v>
      </c>
      <c r="B38">
        <v>640</v>
      </c>
      <c r="C38">
        <v>642</v>
      </c>
      <c r="D38">
        <v>643</v>
      </c>
      <c r="E38">
        <v>641</v>
      </c>
      <c r="F38">
        <v>643</v>
      </c>
      <c r="G38">
        <v>644</v>
      </c>
      <c r="H38">
        <v>234.02500000000001</v>
      </c>
      <c r="I38">
        <v>233.29439252336451</v>
      </c>
      <c r="J38">
        <v>232.9315707620529</v>
      </c>
      <c r="K38">
        <v>26.62189904208936</v>
      </c>
      <c r="L38">
        <v>17.505843009977859</v>
      </c>
      <c r="M38">
        <v>16.560894387631109</v>
      </c>
      <c r="N38">
        <v>169</v>
      </c>
      <c r="O38">
        <v>196</v>
      </c>
      <c r="P38">
        <v>168</v>
      </c>
      <c r="Q38">
        <v>439</v>
      </c>
      <c r="R38">
        <v>390</v>
      </c>
      <c r="S38">
        <v>298</v>
      </c>
      <c r="T38">
        <v>0</v>
      </c>
      <c r="U38">
        <v>0</v>
      </c>
      <c r="V38">
        <v>0</v>
      </c>
    </row>
    <row r="39" spans="1:22" x14ac:dyDescent="0.2">
      <c r="A39" s="1">
        <v>38</v>
      </c>
    </row>
    <row r="40" spans="1:22" x14ac:dyDescent="0.2">
      <c r="A40" s="1">
        <v>39</v>
      </c>
      <c r="B40">
        <v>609</v>
      </c>
      <c r="C40">
        <v>508</v>
      </c>
      <c r="D40">
        <v>608</v>
      </c>
      <c r="E40">
        <v>610</v>
      </c>
      <c r="F40">
        <v>509</v>
      </c>
      <c r="G40">
        <v>609</v>
      </c>
      <c r="H40">
        <v>246.1510673234811</v>
      </c>
      <c r="I40">
        <v>293.8287401574803</v>
      </c>
      <c r="J40">
        <v>246.55592105263159</v>
      </c>
      <c r="K40">
        <v>23.88480102651166</v>
      </c>
      <c r="L40">
        <v>166.12358520964659</v>
      </c>
      <c r="M40">
        <v>25.12047081257608</v>
      </c>
      <c r="N40">
        <v>193</v>
      </c>
      <c r="O40">
        <v>152</v>
      </c>
      <c r="P40">
        <v>173</v>
      </c>
      <c r="Q40">
        <v>329</v>
      </c>
      <c r="R40">
        <v>1799</v>
      </c>
      <c r="S40">
        <v>402</v>
      </c>
      <c r="T40">
        <v>0</v>
      </c>
      <c r="U40">
        <v>8</v>
      </c>
      <c r="V40">
        <v>0</v>
      </c>
    </row>
    <row r="41" spans="1:22" x14ac:dyDescent="0.2">
      <c r="A41" s="1">
        <v>40</v>
      </c>
      <c r="B41">
        <v>639</v>
      </c>
      <c r="C41">
        <v>639</v>
      </c>
      <c r="D41">
        <v>639</v>
      </c>
      <c r="E41">
        <v>640</v>
      </c>
      <c r="F41">
        <v>640</v>
      </c>
      <c r="G41">
        <v>640</v>
      </c>
      <c r="H41">
        <v>234.56651017214401</v>
      </c>
      <c r="I41">
        <v>234.56494522691699</v>
      </c>
      <c r="J41">
        <v>234.56807511737091</v>
      </c>
      <c r="K41">
        <v>15.489551707415011</v>
      </c>
      <c r="L41">
        <v>15.09681684841793</v>
      </c>
      <c r="M41">
        <v>15.11081266693369</v>
      </c>
      <c r="N41">
        <v>191</v>
      </c>
      <c r="O41">
        <v>200</v>
      </c>
      <c r="P41">
        <v>202</v>
      </c>
      <c r="Q41">
        <v>283</v>
      </c>
      <c r="R41">
        <v>284</v>
      </c>
      <c r="S41">
        <v>283</v>
      </c>
      <c r="T41">
        <v>0</v>
      </c>
      <c r="U41">
        <v>0</v>
      </c>
      <c r="V41">
        <v>0</v>
      </c>
    </row>
    <row r="42" spans="1:22" x14ac:dyDescent="0.2">
      <c r="A42" s="1">
        <v>41</v>
      </c>
      <c r="B42">
        <v>608</v>
      </c>
      <c r="C42">
        <v>608</v>
      </c>
      <c r="D42">
        <v>608</v>
      </c>
      <c r="E42">
        <v>609</v>
      </c>
      <c r="F42">
        <v>609</v>
      </c>
      <c r="G42">
        <v>609</v>
      </c>
      <c r="H42">
        <v>246.32072368421049</v>
      </c>
      <c r="I42">
        <v>246.32401315789471</v>
      </c>
      <c r="J42">
        <v>246.32565789473679</v>
      </c>
      <c r="K42">
        <v>31.11302822517165</v>
      </c>
      <c r="L42">
        <v>30.524011382077621</v>
      </c>
      <c r="M42">
        <v>30.371817762997569</v>
      </c>
      <c r="N42">
        <v>169</v>
      </c>
      <c r="O42">
        <v>166</v>
      </c>
      <c r="P42">
        <v>164</v>
      </c>
      <c r="Q42">
        <v>414</v>
      </c>
      <c r="R42">
        <v>413</v>
      </c>
      <c r="S42">
        <v>414</v>
      </c>
      <c r="T42">
        <v>0</v>
      </c>
      <c r="U42">
        <v>0</v>
      </c>
      <c r="V42">
        <v>0</v>
      </c>
    </row>
    <row r="43" spans="1:22" x14ac:dyDescent="0.2">
      <c r="A43" s="1">
        <v>42</v>
      </c>
      <c r="B43">
        <v>333</v>
      </c>
      <c r="C43">
        <v>332</v>
      </c>
      <c r="D43">
        <v>332</v>
      </c>
      <c r="E43">
        <v>334</v>
      </c>
      <c r="F43">
        <v>566</v>
      </c>
      <c r="G43">
        <v>333</v>
      </c>
      <c r="H43">
        <v>281.33033033033041</v>
      </c>
      <c r="I43">
        <v>282.17771084337352</v>
      </c>
      <c r="J43">
        <v>282.17168674698797</v>
      </c>
      <c r="K43">
        <v>821.09967341714002</v>
      </c>
      <c r="L43">
        <v>833.73692394763009</v>
      </c>
      <c r="M43">
        <v>834.29931382985376</v>
      </c>
      <c r="N43">
        <v>198</v>
      </c>
      <c r="O43">
        <v>203</v>
      </c>
      <c r="P43">
        <v>193</v>
      </c>
      <c r="Q43">
        <v>15214</v>
      </c>
      <c r="R43">
        <v>15422</v>
      </c>
      <c r="S43">
        <v>15432</v>
      </c>
      <c r="T43">
        <v>1</v>
      </c>
      <c r="U43">
        <v>1</v>
      </c>
      <c r="V43">
        <v>1</v>
      </c>
    </row>
    <row r="44" spans="1:22" x14ac:dyDescent="0.2">
      <c r="A44" s="1">
        <v>43</v>
      </c>
      <c r="B44">
        <v>156</v>
      </c>
      <c r="C44">
        <v>158</v>
      </c>
      <c r="D44">
        <v>179</v>
      </c>
      <c r="E44">
        <v>157</v>
      </c>
      <c r="F44">
        <v>159</v>
      </c>
      <c r="G44">
        <v>180</v>
      </c>
      <c r="H44">
        <v>869.18589743589746</v>
      </c>
      <c r="I44">
        <v>930.60759493670889</v>
      </c>
      <c r="J44">
        <v>816.44134078212289</v>
      </c>
      <c r="K44">
        <v>2044.801439384644</v>
      </c>
      <c r="L44">
        <v>1822.183217854998</v>
      </c>
      <c r="M44">
        <v>1367.0900945423989</v>
      </c>
      <c r="N44">
        <v>159</v>
      </c>
      <c r="O44">
        <v>188</v>
      </c>
      <c r="P44">
        <v>188</v>
      </c>
      <c r="Q44">
        <v>18517</v>
      </c>
      <c r="R44">
        <v>12508</v>
      </c>
      <c r="S44">
        <v>11029</v>
      </c>
      <c r="T44">
        <v>30</v>
      </c>
      <c r="U44">
        <v>33</v>
      </c>
      <c r="V44">
        <v>36</v>
      </c>
    </row>
    <row r="45" spans="1:22" x14ac:dyDescent="0.2">
      <c r="A45" s="1">
        <v>44</v>
      </c>
      <c r="B45">
        <v>236</v>
      </c>
      <c r="C45">
        <v>178</v>
      </c>
      <c r="D45">
        <v>554</v>
      </c>
      <c r="E45">
        <v>237</v>
      </c>
      <c r="F45">
        <v>298</v>
      </c>
      <c r="G45">
        <v>555</v>
      </c>
      <c r="H45">
        <v>361.20338983050851</v>
      </c>
      <c r="I45">
        <v>478.7865168539326</v>
      </c>
      <c r="J45">
        <v>270.44404332129972</v>
      </c>
      <c r="K45">
        <v>458.9131667611619</v>
      </c>
      <c r="L45">
        <v>892.34621200353888</v>
      </c>
      <c r="M45">
        <v>256.72262797248243</v>
      </c>
      <c r="N45">
        <v>176</v>
      </c>
      <c r="O45">
        <v>183</v>
      </c>
      <c r="P45">
        <v>176</v>
      </c>
      <c r="Q45">
        <v>3869</v>
      </c>
      <c r="R45">
        <v>8989</v>
      </c>
      <c r="S45">
        <v>3348</v>
      </c>
      <c r="T45">
        <v>15</v>
      </c>
      <c r="U45">
        <v>16</v>
      </c>
      <c r="V45">
        <v>8</v>
      </c>
    </row>
    <row r="46" spans="1:22" x14ac:dyDescent="0.2">
      <c r="A46" s="1">
        <v>45</v>
      </c>
      <c r="B46">
        <v>573</v>
      </c>
      <c r="C46">
        <v>545</v>
      </c>
      <c r="D46">
        <v>587</v>
      </c>
      <c r="E46">
        <v>574</v>
      </c>
      <c r="F46">
        <v>546</v>
      </c>
      <c r="G46">
        <v>588</v>
      </c>
      <c r="H46">
        <v>258.45375218150087</v>
      </c>
      <c r="I46">
        <v>271.73577981651368</v>
      </c>
      <c r="J46">
        <v>252.2930153321976</v>
      </c>
      <c r="K46">
        <v>195.90299272904741</v>
      </c>
      <c r="L46">
        <v>212.48559619130651</v>
      </c>
      <c r="M46">
        <v>195.65943282704981</v>
      </c>
      <c r="N46">
        <v>170</v>
      </c>
      <c r="O46">
        <v>168</v>
      </c>
      <c r="P46">
        <v>161</v>
      </c>
      <c r="Q46">
        <v>3215</v>
      </c>
      <c r="R46">
        <v>3217</v>
      </c>
      <c r="S46">
        <v>3213</v>
      </c>
      <c r="T46">
        <v>6</v>
      </c>
      <c r="U46">
        <v>6</v>
      </c>
      <c r="V46">
        <v>6</v>
      </c>
    </row>
    <row r="47" spans="1:22" x14ac:dyDescent="0.2">
      <c r="A47" s="1">
        <v>46</v>
      </c>
      <c r="B47">
        <v>692</v>
      </c>
      <c r="C47">
        <v>692</v>
      </c>
      <c r="D47">
        <v>692</v>
      </c>
      <c r="E47">
        <v>693</v>
      </c>
      <c r="F47">
        <v>693</v>
      </c>
      <c r="G47">
        <v>693</v>
      </c>
      <c r="H47">
        <v>216.3973988439306</v>
      </c>
      <c r="I47">
        <v>216.3973988439306</v>
      </c>
      <c r="J47">
        <v>216.39595375722541</v>
      </c>
      <c r="K47">
        <v>16.76032266396361</v>
      </c>
      <c r="L47">
        <v>16.696651454106359</v>
      </c>
      <c r="M47">
        <v>16.692308196413471</v>
      </c>
      <c r="N47">
        <v>176</v>
      </c>
      <c r="O47">
        <v>179</v>
      </c>
      <c r="P47">
        <v>180</v>
      </c>
      <c r="Q47">
        <v>293</v>
      </c>
      <c r="R47">
        <v>293</v>
      </c>
      <c r="S47">
        <v>293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684</v>
      </c>
      <c r="C48">
        <v>693</v>
      </c>
      <c r="D48">
        <v>683</v>
      </c>
      <c r="E48">
        <v>685</v>
      </c>
      <c r="F48">
        <v>694</v>
      </c>
      <c r="G48">
        <v>684</v>
      </c>
      <c r="H48">
        <v>219.280701754386</v>
      </c>
      <c r="I48">
        <v>216.4718614718615</v>
      </c>
      <c r="J48">
        <v>219.63836017569551</v>
      </c>
      <c r="K48">
        <v>54.250275522212377</v>
      </c>
      <c r="L48">
        <v>37.705059788689418</v>
      </c>
      <c r="M48">
        <v>55.214639498074618</v>
      </c>
      <c r="N48">
        <v>163</v>
      </c>
      <c r="O48">
        <v>187</v>
      </c>
      <c r="P48">
        <v>172</v>
      </c>
      <c r="Q48">
        <v>844</v>
      </c>
      <c r="R48">
        <v>623</v>
      </c>
      <c r="S48">
        <v>962</v>
      </c>
      <c r="T48">
        <v>0</v>
      </c>
      <c r="U48">
        <v>0</v>
      </c>
      <c r="V48">
        <v>0</v>
      </c>
    </row>
    <row r="49" spans="1:22" x14ac:dyDescent="0.2">
      <c r="A49" s="1">
        <v>48</v>
      </c>
      <c r="B49">
        <v>640</v>
      </c>
      <c r="C49">
        <v>638</v>
      </c>
      <c r="D49">
        <v>636</v>
      </c>
      <c r="E49">
        <v>641</v>
      </c>
      <c r="F49">
        <v>639</v>
      </c>
      <c r="G49">
        <v>637</v>
      </c>
      <c r="H49">
        <v>233.8203125</v>
      </c>
      <c r="I49">
        <v>234.5564263322884</v>
      </c>
      <c r="J49">
        <v>235.29088050314459</v>
      </c>
      <c r="K49">
        <v>18.78959922472594</v>
      </c>
      <c r="L49">
        <v>21.215477772111569</v>
      </c>
      <c r="M49">
        <v>24.8510899682352</v>
      </c>
      <c r="N49">
        <v>187</v>
      </c>
      <c r="O49">
        <v>194</v>
      </c>
      <c r="P49">
        <v>180</v>
      </c>
      <c r="Q49">
        <v>463</v>
      </c>
      <c r="R49">
        <v>461</v>
      </c>
      <c r="S49">
        <v>463</v>
      </c>
      <c r="T49">
        <v>0</v>
      </c>
      <c r="U49">
        <v>0</v>
      </c>
      <c r="V49">
        <v>0</v>
      </c>
    </row>
    <row r="50" spans="1:22" x14ac:dyDescent="0.2">
      <c r="A50" s="1">
        <v>49</v>
      </c>
      <c r="B50">
        <v>675</v>
      </c>
      <c r="C50">
        <v>64</v>
      </c>
      <c r="D50">
        <v>676</v>
      </c>
      <c r="E50">
        <v>676</v>
      </c>
      <c r="F50">
        <v>65</v>
      </c>
      <c r="G50">
        <v>677</v>
      </c>
      <c r="H50">
        <v>221.82666666666671</v>
      </c>
      <c r="I50">
        <v>2334.796875</v>
      </c>
      <c r="J50">
        <v>221.47337278106511</v>
      </c>
      <c r="K50">
        <v>16.13301166186584</v>
      </c>
      <c r="L50">
        <v>2621.6129542506542</v>
      </c>
      <c r="M50">
        <v>12.99279120413169</v>
      </c>
      <c r="N50">
        <v>163</v>
      </c>
      <c r="O50">
        <v>216</v>
      </c>
      <c r="P50">
        <v>183</v>
      </c>
      <c r="Q50">
        <v>398</v>
      </c>
      <c r="R50">
        <v>15208</v>
      </c>
      <c r="S50">
        <v>264</v>
      </c>
      <c r="T50">
        <v>0</v>
      </c>
      <c r="U50">
        <v>37</v>
      </c>
      <c r="V50">
        <v>0</v>
      </c>
    </row>
    <row r="51" spans="1:22" x14ac:dyDescent="0.2">
      <c r="A51" s="1">
        <v>50</v>
      </c>
      <c r="B51">
        <v>625</v>
      </c>
      <c r="C51">
        <v>593</v>
      </c>
      <c r="D51">
        <v>625</v>
      </c>
      <c r="E51">
        <v>626</v>
      </c>
      <c r="F51">
        <v>594</v>
      </c>
      <c r="G51">
        <v>626</v>
      </c>
      <c r="H51">
        <v>239.50880000000001</v>
      </c>
      <c r="I51">
        <v>252.43507588532881</v>
      </c>
      <c r="J51">
        <v>239.50880000000001</v>
      </c>
      <c r="K51">
        <v>15.141861315656151</v>
      </c>
      <c r="L51">
        <v>64.693478806108899</v>
      </c>
      <c r="M51">
        <v>15.043217740895731</v>
      </c>
      <c r="N51">
        <v>203</v>
      </c>
      <c r="O51">
        <v>203</v>
      </c>
      <c r="P51">
        <v>200</v>
      </c>
      <c r="Q51">
        <v>456</v>
      </c>
      <c r="R51">
        <v>740</v>
      </c>
      <c r="S51">
        <v>456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647</v>
      </c>
      <c r="C52">
        <v>455</v>
      </c>
      <c r="D52">
        <v>536</v>
      </c>
      <c r="E52">
        <v>648</v>
      </c>
      <c r="F52">
        <v>456</v>
      </c>
      <c r="G52">
        <v>537</v>
      </c>
      <c r="H52">
        <v>231.85625965996911</v>
      </c>
      <c r="I52">
        <v>329.69450549450551</v>
      </c>
      <c r="J52">
        <v>279.87126865671638</v>
      </c>
      <c r="K52">
        <v>69.74437660730176</v>
      </c>
      <c r="L52">
        <v>285.35312591163472</v>
      </c>
      <c r="M52">
        <v>189.70314299633139</v>
      </c>
      <c r="N52">
        <v>158</v>
      </c>
      <c r="O52">
        <v>151</v>
      </c>
      <c r="P52">
        <v>153</v>
      </c>
      <c r="Q52">
        <v>1098</v>
      </c>
      <c r="R52">
        <v>2843</v>
      </c>
      <c r="S52">
        <v>1952</v>
      </c>
      <c r="T52">
        <v>1</v>
      </c>
      <c r="U52">
        <v>18</v>
      </c>
      <c r="V52">
        <v>6</v>
      </c>
    </row>
    <row r="53" spans="1:22" x14ac:dyDescent="0.2">
      <c r="A53" s="1">
        <v>52</v>
      </c>
      <c r="B53">
        <v>643</v>
      </c>
      <c r="C53">
        <v>644</v>
      </c>
      <c r="D53">
        <v>644</v>
      </c>
      <c r="E53">
        <v>644</v>
      </c>
      <c r="F53">
        <v>645</v>
      </c>
      <c r="G53">
        <v>645</v>
      </c>
      <c r="H53">
        <v>233.01088646967341</v>
      </c>
      <c r="I53">
        <v>232.6506211180124</v>
      </c>
      <c r="J53">
        <v>232.6506211180124</v>
      </c>
      <c r="K53">
        <v>21.778870400962479</v>
      </c>
      <c r="L53">
        <v>18.28912388526992</v>
      </c>
      <c r="M53">
        <v>18.28495671078614</v>
      </c>
      <c r="N53">
        <v>182</v>
      </c>
      <c r="O53">
        <v>193</v>
      </c>
      <c r="P53">
        <v>192</v>
      </c>
      <c r="Q53">
        <v>486</v>
      </c>
      <c r="R53">
        <v>308</v>
      </c>
      <c r="S53">
        <v>308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663</v>
      </c>
      <c r="C54">
        <v>664</v>
      </c>
      <c r="D54">
        <v>662</v>
      </c>
      <c r="E54">
        <v>664</v>
      </c>
      <c r="F54">
        <v>665</v>
      </c>
      <c r="G54">
        <v>663</v>
      </c>
      <c r="H54">
        <v>225.30769230769229</v>
      </c>
      <c r="I54">
        <v>225.00602409638549</v>
      </c>
      <c r="J54">
        <v>225.6858006042296</v>
      </c>
      <c r="K54">
        <v>48.75751132417998</v>
      </c>
      <c r="L54">
        <v>45.131715661243391</v>
      </c>
      <c r="M54">
        <v>58.628534544388117</v>
      </c>
      <c r="N54">
        <v>178</v>
      </c>
      <c r="O54">
        <v>183</v>
      </c>
      <c r="P54">
        <v>180</v>
      </c>
      <c r="Q54">
        <v>846</v>
      </c>
      <c r="R54">
        <v>683</v>
      </c>
      <c r="S54">
        <v>1283</v>
      </c>
      <c r="T54">
        <v>0</v>
      </c>
      <c r="U54">
        <v>0</v>
      </c>
      <c r="V54">
        <v>1</v>
      </c>
    </row>
    <row r="55" spans="1:22" x14ac:dyDescent="0.2">
      <c r="A55" s="1">
        <v>54</v>
      </c>
      <c r="B55">
        <v>684</v>
      </c>
      <c r="C55">
        <v>683</v>
      </c>
      <c r="D55">
        <v>684</v>
      </c>
      <c r="E55">
        <v>685</v>
      </c>
      <c r="F55">
        <v>684</v>
      </c>
      <c r="G55">
        <v>685</v>
      </c>
      <c r="H55">
        <v>219.05701754385959</v>
      </c>
      <c r="I55">
        <v>219.37774524158129</v>
      </c>
      <c r="J55">
        <v>219.05701754385959</v>
      </c>
      <c r="K55">
        <v>14.869799806641289</v>
      </c>
      <c r="L55">
        <v>15.832820774484199</v>
      </c>
      <c r="M55">
        <v>14.63838274415107</v>
      </c>
      <c r="N55">
        <v>170</v>
      </c>
      <c r="O55">
        <v>187</v>
      </c>
      <c r="P55">
        <v>188</v>
      </c>
      <c r="Q55">
        <v>261</v>
      </c>
      <c r="R55">
        <v>382</v>
      </c>
      <c r="S55">
        <v>261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618</v>
      </c>
      <c r="C56">
        <v>567</v>
      </c>
      <c r="D56">
        <v>577</v>
      </c>
      <c r="E56">
        <v>619</v>
      </c>
      <c r="F56">
        <v>568</v>
      </c>
      <c r="G56">
        <v>578</v>
      </c>
      <c r="H56">
        <v>242.29611650485441</v>
      </c>
      <c r="I56">
        <v>264.08641975308637</v>
      </c>
      <c r="J56">
        <v>259.50953206239171</v>
      </c>
      <c r="K56">
        <v>51.376432152107292</v>
      </c>
      <c r="L56">
        <v>130.24756778608571</v>
      </c>
      <c r="M56">
        <v>142.00398687168709</v>
      </c>
      <c r="N56">
        <v>197</v>
      </c>
      <c r="O56">
        <v>198</v>
      </c>
      <c r="P56">
        <v>206</v>
      </c>
      <c r="Q56">
        <v>877</v>
      </c>
      <c r="R56">
        <v>1734</v>
      </c>
      <c r="S56">
        <v>2031</v>
      </c>
      <c r="T56">
        <v>0</v>
      </c>
      <c r="U56">
        <v>4</v>
      </c>
      <c r="V56">
        <v>5</v>
      </c>
    </row>
    <row r="57" spans="1:22" x14ac:dyDescent="0.2">
      <c r="A57" s="1">
        <v>56</v>
      </c>
      <c r="B57">
        <v>631</v>
      </c>
      <c r="C57">
        <v>629</v>
      </c>
      <c r="D57">
        <v>634</v>
      </c>
      <c r="E57">
        <v>632</v>
      </c>
      <c r="F57">
        <v>630</v>
      </c>
      <c r="G57">
        <v>635</v>
      </c>
      <c r="H57">
        <v>237.3930269413629</v>
      </c>
      <c r="I57">
        <v>238.1510333863275</v>
      </c>
      <c r="J57">
        <v>236.2728706624606</v>
      </c>
      <c r="K57">
        <v>39.110192909195817</v>
      </c>
      <c r="L57">
        <v>42.224427904099556</v>
      </c>
      <c r="M57">
        <v>25.630248266168959</v>
      </c>
      <c r="N57">
        <v>191</v>
      </c>
      <c r="O57">
        <v>203</v>
      </c>
      <c r="P57">
        <v>205</v>
      </c>
      <c r="Q57">
        <v>787</v>
      </c>
      <c r="R57">
        <v>937</v>
      </c>
      <c r="S57">
        <v>681</v>
      </c>
      <c r="T57">
        <v>0</v>
      </c>
      <c r="U57">
        <v>0</v>
      </c>
      <c r="V57">
        <v>0</v>
      </c>
    </row>
    <row r="58" spans="1:22" x14ac:dyDescent="0.2">
      <c r="A58" s="1">
        <v>57</v>
      </c>
      <c r="B58">
        <v>628</v>
      </c>
      <c r="C58">
        <v>627</v>
      </c>
      <c r="D58">
        <v>632</v>
      </c>
      <c r="E58">
        <v>629</v>
      </c>
      <c r="F58">
        <v>628</v>
      </c>
      <c r="G58">
        <v>633</v>
      </c>
      <c r="H58">
        <v>238.42515923566879</v>
      </c>
      <c r="I58">
        <v>238.8437001594896</v>
      </c>
      <c r="J58">
        <v>236.9541139240506</v>
      </c>
      <c r="K58">
        <v>28.30268956860299</v>
      </c>
      <c r="L58">
        <v>32.304528476497943</v>
      </c>
      <c r="M58">
        <v>24.747718180805531</v>
      </c>
      <c r="N58">
        <v>171</v>
      </c>
      <c r="O58">
        <v>168</v>
      </c>
      <c r="P58">
        <v>169</v>
      </c>
      <c r="Q58">
        <v>422</v>
      </c>
      <c r="R58">
        <v>523</v>
      </c>
      <c r="S58">
        <v>430</v>
      </c>
      <c r="T58">
        <v>0</v>
      </c>
      <c r="U58">
        <v>0</v>
      </c>
      <c r="V58">
        <v>0</v>
      </c>
    </row>
    <row r="59" spans="1:22" x14ac:dyDescent="0.2">
      <c r="A59" s="1">
        <v>58</v>
      </c>
      <c r="B59">
        <v>608</v>
      </c>
      <c r="C59">
        <v>570</v>
      </c>
      <c r="D59">
        <v>606</v>
      </c>
      <c r="E59">
        <v>609</v>
      </c>
      <c r="F59">
        <v>571</v>
      </c>
      <c r="G59">
        <v>607</v>
      </c>
      <c r="H59">
        <v>246.62171052631581</v>
      </c>
      <c r="I59">
        <v>263.04210526315791</v>
      </c>
      <c r="J59">
        <v>247.39273927392739</v>
      </c>
      <c r="K59">
        <v>35.06813780337918</v>
      </c>
      <c r="L59">
        <v>97.858951161604807</v>
      </c>
      <c r="M59">
        <v>38.865875066893587</v>
      </c>
      <c r="N59">
        <v>183</v>
      </c>
      <c r="O59">
        <v>186</v>
      </c>
      <c r="P59">
        <v>164</v>
      </c>
      <c r="Q59">
        <v>689</v>
      </c>
      <c r="R59">
        <v>1451</v>
      </c>
      <c r="S59">
        <v>689</v>
      </c>
      <c r="T59">
        <v>0</v>
      </c>
      <c r="U59">
        <v>3</v>
      </c>
      <c r="V59">
        <v>0</v>
      </c>
    </row>
    <row r="60" spans="1:22" x14ac:dyDescent="0.2">
      <c r="A60" s="1">
        <v>59</v>
      </c>
      <c r="B60">
        <v>696</v>
      </c>
      <c r="C60">
        <v>649</v>
      </c>
      <c r="D60">
        <v>693</v>
      </c>
      <c r="E60">
        <v>697</v>
      </c>
      <c r="F60">
        <v>686</v>
      </c>
      <c r="G60">
        <v>694</v>
      </c>
      <c r="H60">
        <v>215.13793103448279</v>
      </c>
      <c r="I60">
        <v>219.4930662557781</v>
      </c>
      <c r="J60">
        <v>216.06926406926411</v>
      </c>
      <c r="K60">
        <v>18.0421073686848</v>
      </c>
      <c r="L60">
        <v>37.168415064301684</v>
      </c>
      <c r="M60">
        <v>25.857956684154079</v>
      </c>
      <c r="N60">
        <v>164</v>
      </c>
      <c r="O60">
        <v>183</v>
      </c>
      <c r="P60">
        <v>180</v>
      </c>
      <c r="Q60">
        <v>452</v>
      </c>
      <c r="R60">
        <v>736</v>
      </c>
      <c r="S60">
        <v>636</v>
      </c>
      <c r="T60">
        <v>0</v>
      </c>
      <c r="U60">
        <v>0</v>
      </c>
      <c r="V60">
        <v>0</v>
      </c>
    </row>
    <row r="61" spans="1:22" x14ac:dyDescent="0.2">
      <c r="A61" s="1">
        <v>60</v>
      </c>
      <c r="B61">
        <v>683</v>
      </c>
      <c r="C61">
        <v>656</v>
      </c>
      <c r="D61">
        <v>683</v>
      </c>
      <c r="E61">
        <v>684</v>
      </c>
      <c r="F61">
        <v>657</v>
      </c>
      <c r="G61">
        <v>684</v>
      </c>
      <c r="H61">
        <v>219.3177159590044</v>
      </c>
      <c r="I61">
        <v>228.34451219512201</v>
      </c>
      <c r="J61">
        <v>219.31918008784771</v>
      </c>
      <c r="K61">
        <v>25.488139258669889</v>
      </c>
      <c r="L61">
        <v>49.603591045882737</v>
      </c>
      <c r="M61">
        <v>20.664773699560111</v>
      </c>
      <c r="N61">
        <v>189</v>
      </c>
      <c r="O61">
        <v>159</v>
      </c>
      <c r="P61">
        <v>189</v>
      </c>
      <c r="Q61">
        <v>687</v>
      </c>
      <c r="R61">
        <v>812</v>
      </c>
      <c r="S61">
        <v>402</v>
      </c>
      <c r="T61">
        <v>0</v>
      </c>
      <c r="U61">
        <v>0</v>
      </c>
      <c r="V61">
        <v>0</v>
      </c>
    </row>
    <row r="62" spans="1:22" x14ac:dyDescent="0.2">
      <c r="A62" s="1">
        <v>61</v>
      </c>
      <c r="B62">
        <v>716</v>
      </c>
      <c r="C62">
        <v>712</v>
      </c>
      <c r="D62">
        <v>715</v>
      </c>
      <c r="E62">
        <v>717</v>
      </c>
      <c r="F62">
        <v>713</v>
      </c>
      <c r="G62">
        <v>716</v>
      </c>
      <c r="H62">
        <v>209.677374301676</v>
      </c>
      <c r="I62">
        <v>210.8539325842697</v>
      </c>
      <c r="J62">
        <v>209.97062937062941</v>
      </c>
      <c r="K62">
        <v>15.44466655917304</v>
      </c>
      <c r="L62">
        <v>17.619466003902559</v>
      </c>
      <c r="M62">
        <v>12.559013816168459</v>
      </c>
      <c r="N62">
        <v>158</v>
      </c>
      <c r="O62">
        <v>185</v>
      </c>
      <c r="P62">
        <v>185</v>
      </c>
      <c r="Q62">
        <v>258</v>
      </c>
      <c r="R62">
        <v>438</v>
      </c>
      <c r="S62">
        <v>369</v>
      </c>
      <c r="T62">
        <v>0</v>
      </c>
      <c r="U62">
        <v>0</v>
      </c>
      <c r="V62">
        <v>0</v>
      </c>
    </row>
    <row r="63" spans="1:22" x14ac:dyDescent="0.2">
      <c r="A63" s="1">
        <v>62</v>
      </c>
      <c r="B63">
        <v>740</v>
      </c>
      <c r="C63">
        <v>724</v>
      </c>
      <c r="D63">
        <v>757</v>
      </c>
      <c r="E63">
        <v>741</v>
      </c>
      <c r="F63">
        <v>725</v>
      </c>
      <c r="G63">
        <v>758</v>
      </c>
      <c r="H63">
        <v>201.9108108108108</v>
      </c>
      <c r="I63">
        <v>206.6988950276243</v>
      </c>
      <c r="J63">
        <v>197.68956406869219</v>
      </c>
      <c r="K63">
        <v>37.97082623289284</v>
      </c>
      <c r="L63">
        <v>45.724328203361459</v>
      </c>
      <c r="M63">
        <v>28.068511409517619</v>
      </c>
      <c r="N63">
        <v>151</v>
      </c>
      <c r="O63">
        <v>152</v>
      </c>
      <c r="P63">
        <v>169</v>
      </c>
      <c r="Q63">
        <v>673</v>
      </c>
      <c r="R63">
        <v>675</v>
      </c>
      <c r="S63">
        <v>675</v>
      </c>
      <c r="T63">
        <v>0</v>
      </c>
      <c r="U63">
        <v>0</v>
      </c>
      <c r="V63">
        <v>0</v>
      </c>
    </row>
    <row r="64" spans="1:22" x14ac:dyDescent="0.2">
      <c r="A64" s="1">
        <v>63</v>
      </c>
      <c r="B64">
        <v>492</v>
      </c>
      <c r="C64">
        <v>32</v>
      </c>
      <c r="D64">
        <v>581</v>
      </c>
      <c r="E64">
        <v>493</v>
      </c>
      <c r="F64">
        <v>33</v>
      </c>
      <c r="G64">
        <v>582</v>
      </c>
      <c r="H64">
        <v>305.10365853658539</v>
      </c>
      <c r="I64">
        <v>4290.125</v>
      </c>
      <c r="J64">
        <v>258.36316695352838</v>
      </c>
      <c r="K64">
        <v>951.482172866052</v>
      </c>
      <c r="L64">
        <v>9576.0533245274673</v>
      </c>
      <c r="M64">
        <v>861.95862006824507</v>
      </c>
      <c r="N64">
        <v>171</v>
      </c>
      <c r="O64">
        <v>153</v>
      </c>
      <c r="P64">
        <v>167</v>
      </c>
      <c r="Q64">
        <v>21093</v>
      </c>
      <c r="R64">
        <v>42999</v>
      </c>
      <c r="S64">
        <v>20944</v>
      </c>
      <c r="T64">
        <v>3</v>
      </c>
      <c r="U64">
        <v>15</v>
      </c>
      <c r="V64">
        <v>1</v>
      </c>
    </row>
    <row r="65" spans="1:22" x14ac:dyDescent="0.2">
      <c r="A65" s="1">
        <v>64</v>
      </c>
      <c r="B65">
        <v>697</v>
      </c>
      <c r="C65">
        <v>683</v>
      </c>
      <c r="D65">
        <v>115</v>
      </c>
      <c r="E65">
        <v>698</v>
      </c>
      <c r="F65">
        <v>684</v>
      </c>
      <c r="G65">
        <v>116</v>
      </c>
      <c r="H65">
        <v>214.74318507890959</v>
      </c>
      <c r="I65">
        <v>219.14348462664711</v>
      </c>
      <c r="J65">
        <v>1270.582608695652</v>
      </c>
      <c r="K65">
        <v>46.114503760553212</v>
      </c>
      <c r="L65">
        <v>75.892905120726667</v>
      </c>
      <c r="M65">
        <v>1735.101427757804</v>
      </c>
      <c r="N65">
        <v>167</v>
      </c>
      <c r="O65">
        <v>152</v>
      </c>
      <c r="P65">
        <v>151</v>
      </c>
      <c r="Q65">
        <v>616</v>
      </c>
      <c r="R65">
        <v>1140</v>
      </c>
      <c r="S65">
        <v>9606</v>
      </c>
      <c r="T65">
        <v>0</v>
      </c>
      <c r="U65">
        <v>1</v>
      </c>
      <c r="V65">
        <v>39</v>
      </c>
    </row>
    <row r="66" spans="1:22" x14ac:dyDescent="0.2">
      <c r="A66" s="1">
        <v>65</v>
      </c>
    </row>
    <row r="67" spans="1:22" x14ac:dyDescent="0.2">
      <c r="A67" s="1">
        <v>66</v>
      </c>
      <c r="B67">
        <v>605</v>
      </c>
      <c r="C67">
        <v>538</v>
      </c>
      <c r="D67">
        <v>506</v>
      </c>
      <c r="E67">
        <v>606</v>
      </c>
      <c r="F67">
        <v>499</v>
      </c>
      <c r="G67">
        <v>507</v>
      </c>
      <c r="H67">
        <v>247.55041322314051</v>
      </c>
      <c r="I67">
        <v>278.39405204460968</v>
      </c>
      <c r="J67">
        <v>280.08893280632412</v>
      </c>
      <c r="K67">
        <v>249.56296141307919</v>
      </c>
      <c r="L67">
        <v>334.18373959265489</v>
      </c>
      <c r="M67">
        <v>320.11048525214511</v>
      </c>
      <c r="N67">
        <v>155</v>
      </c>
      <c r="O67">
        <v>161</v>
      </c>
      <c r="P67">
        <v>165</v>
      </c>
      <c r="Q67">
        <v>5933</v>
      </c>
      <c r="R67">
        <v>5929</v>
      </c>
      <c r="S67">
        <v>6170</v>
      </c>
      <c r="T67">
        <v>2</v>
      </c>
      <c r="U67">
        <v>12</v>
      </c>
      <c r="V67">
        <v>10</v>
      </c>
    </row>
    <row r="68" spans="1:22" x14ac:dyDescent="0.2">
      <c r="A68" s="1">
        <v>67</v>
      </c>
    </row>
    <row r="69" spans="1:22" x14ac:dyDescent="0.2">
      <c r="A69" s="1">
        <v>68</v>
      </c>
      <c r="B69">
        <v>396</v>
      </c>
      <c r="C69">
        <v>377</v>
      </c>
      <c r="D69">
        <v>395</v>
      </c>
      <c r="E69">
        <v>397</v>
      </c>
      <c r="F69">
        <v>378</v>
      </c>
      <c r="G69">
        <v>396</v>
      </c>
      <c r="H69">
        <v>378.33838383838378</v>
      </c>
      <c r="I69">
        <v>397.43236074270561</v>
      </c>
      <c r="J69">
        <v>379.29620253164558</v>
      </c>
      <c r="K69">
        <v>3252.913349193057</v>
      </c>
      <c r="L69">
        <v>3333.433413246129</v>
      </c>
      <c r="M69">
        <v>3256.963855993723</v>
      </c>
      <c r="N69">
        <v>169</v>
      </c>
      <c r="O69">
        <v>164</v>
      </c>
      <c r="P69">
        <v>177</v>
      </c>
      <c r="Q69">
        <v>64943</v>
      </c>
      <c r="R69">
        <v>64940</v>
      </c>
      <c r="S69">
        <v>64942</v>
      </c>
      <c r="T69">
        <v>1</v>
      </c>
      <c r="U69">
        <v>1</v>
      </c>
      <c r="V69">
        <v>1</v>
      </c>
    </row>
    <row r="70" spans="1:22" x14ac:dyDescent="0.2">
      <c r="A70" s="1">
        <v>69</v>
      </c>
      <c r="B70">
        <v>653</v>
      </c>
      <c r="C70">
        <v>681</v>
      </c>
      <c r="D70">
        <v>692</v>
      </c>
      <c r="E70">
        <v>654</v>
      </c>
      <c r="F70">
        <v>682</v>
      </c>
      <c r="G70">
        <v>693</v>
      </c>
      <c r="H70">
        <v>228.91117917304749</v>
      </c>
      <c r="I70">
        <v>219.49779735682819</v>
      </c>
      <c r="J70">
        <v>216.01011560693641</v>
      </c>
      <c r="K70">
        <v>62.378137003772451</v>
      </c>
      <c r="L70">
        <v>38.766955430837257</v>
      </c>
      <c r="M70">
        <v>19.128286885557628</v>
      </c>
      <c r="N70">
        <v>167</v>
      </c>
      <c r="O70">
        <v>177</v>
      </c>
      <c r="P70">
        <v>187</v>
      </c>
      <c r="Q70">
        <v>664</v>
      </c>
      <c r="R70">
        <v>666</v>
      </c>
      <c r="S70">
        <v>442</v>
      </c>
      <c r="T70">
        <v>0</v>
      </c>
      <c r="U70">
        <v>0</v>
      </c>
      <c r="V70">
        <v>0</v>
      </c>
    </row>
    <row r="71" spans="1:22" x14ac:dyDescent="0.2">
      <c r="A71" s="1">
        <v>70</v>
      </c>
    </row>
    <row r="72" spans="1:22" x14ac:dyDescent="0.2">
      <c r="A72" s="1">
        <v>71</v>
      </c>
      <c r="B72">
        <v>719</v>
      </c>
      <c r="C72">
        <v>722</v>
      </c>
      <c r="D72">
        <v>719</v>
      </c>
      <c r="E72">
        <v>720</v>
      </c>
      <c r="F72">
        <v>723</v>
      </c>
      <c r="G72">
        <v>720</v>
      </c>
      <c r="H72">
        <v>208.36022253129349</v>
      </c>
      <c r="I72">
        <v>207.49307479224379</v>
      </c>
      <c r="J72">
        <v>208.3588317107093</v>
      </c>
      <c r="K72">
        <v>17.36667086044195</v>
      </c>
      <c r="L72">
        <v>12.761357312730951</v>
      </c>
      <c r="M72">
        <v>16.30879854722021</v>
      </c>
      <c r="N72">
        <v>164</v>
      </c>
      <c r="O72">
        <v>156</v>
      </c>
      <c r="P72">
        <v>155</v>
      </c>
      <c r="Q72">
        <v>393</v>
      </c>
      <c r="R72">
        <v>250</v>
      </c>
      <c r="S72">
        <v>367</v>
      </c>
      <c r="T72">
        <v>0</v>
      </c>
      <c r="U72">
        <v>0</v>
      </c>
      <c r="V72">
        <v>0</v>
      </c>
    </row>
    <row r="73" spans="1:22" x14ac:dyDescent="0.2">
      <c r="A73" s="1">
        <v>72</v>
      </c>
      <c r="B73">
        <v>161</v>
      </c>
      <c r="C73">
        <v>173</v>
      </c>
      <c r="D73">
        <v>176</v>
      </c>
      <c r="E73">
        <v>162</v>
      </c>
      <c r="F73">
        <v>174</v>
      </c>
      <c r="G73">
        <v>177</v>
      </c>
      <c r="H73">
        <v>269.93788819875778</v>
      </c>
      <c r="I73">
        <v>251.1907514450867</v>
      </c>
      <c r="J73">
        <v>246.91477272727269</v>
      </c>
      <c r="K73">
        <v>92.566441640653025</v>
      </c>
      <c r="L73">
        <v>35.829433236655497</v>
      </c>
      <c r="M73">
        <v>15.437935019371521</v>
      </c>
      <c r="N73">
        <v>203</v>
      </c>
      <c r="O73">
        <v>219</v>
      </c>
      <c r="P73">
        <v>221</v>
      </c>
      <c r="Q73">
        <v>769</v>
      </c>
      <c r="R73">
        <v>518</v>
      </c>
      <c r="S73">
        <v>307</v>
      </c>
      <c r="T73">
        <v>0</v>
      </c>
      <c r="U73">
        <v>0</v>
      </c>
      <c r="V73">
        <v>0</v>
      </c>
    </row>
    <row r="74" spans="1:22" x14ac:dyDescent="0.2">
      <c r="A74" s="1">
        <v>73</v>
      </c>
      <c r="B74">
        <v>599</v>
      </c>
      <c r="C74">
        <v>602</v>
      </c>
      <c r="D74">
        <v>602</v>
      </c>
      <c r="E74">
        <v>600</v>
      </c>
      <c r="F74">
        <v>603</v>
      </c>
      <c r="G74">
        <v>603</v>
      </c>
      <c r="H74">
        <v>227.17863105175289</v>
      </c>
      <c r="I74">
        <v>226.04485049833889</v>
      </c>
      <c r="J74">
        <v>226.04651162790699</v>
      </c>
      <c r="K74">
        <v>30.675066037153311</v>
      </c>
      <c r="L74">
        <v>20.06743162541834</v>
      </c>
      <c r="M74">
        <v>20.094647000148981</v>
      </c>
      <c r="N74">
        <v>175</v>
      </c>
      <c r="O74">
        <v>194</v>
      </c>
      <c r="P74">
        <v>194</v>
      </c>
      <c r="Q74">
        <v>680</v>
      </c>
      <c r="R74">
        <v>445</v>
      </c>
      <c r="S74">
        <v>446</v>
      </c>
      <c r="T74">
        <v>0</v>
      </c>
      <c r="U74">
        <v>0</v>
      </c>
      <c r="V74">
        <v>0</v>
      </c>
    </row>
    <row r="75" spans="1:22" x14ac:dyDescent="0.2">
      <c r="A75" s="1">
        <v>74</v>
      </c>
      <c r="B75">
        <v>585</v>
      </c>
      <c r="C75">
        <v>584</v>
      </c>
      <c r="D75">
        <v>585</v>
      </c>
      <c r="E75">
        <v>586</v>
      </c>
      <c r="F75">
        <v>585</v>
      </c>
      <c r="G75">
        <v>586</v>
      </c>
      <c r="H75">
        <v>256.2837606837607</v>
      </c>
      <c r="I75">
        <v>256.71917808219177</v>
      </c>
      <c r="J75">
        <v>256.2837606837607</v>
      </c>
      <c r="K75">
        <v>19.024897877720608</v>
      </c>
      <c r="L75">
        <v>19.92877304819979</v>
      </c>
      <c r="M75">
        <v>18.78149846160251</v>
      </c>
      <c r="N75">
        <v>203</v>
      </c>
      <c r="O75">
        <v>214</v>
      </c>
      <c r="P75">
        <v>213</v>
      </c>
      <c r="Q75">
        <v>326</v>
      </c>
      <c r="R75">
        <v>431</v>
      </c>
      <c r="S75">
        <v>327</v>
      </c>
      <c r="T75">
        <v>0</v>
      </c>
      <c r="U75">
        <v>0</v>
      </c>
      <c r="V75">
        <v>0</v>
      </c>
    </row>
    <row r="76" spans="1:22" x14ac:dyDescent="0.2">
      <c r="A76" s="1">
        <v>75</v>
      </c>
      <c r="B76">
        <v>133</v>
      </c>
      <c r="C76">
        <v>119</v>
      </c>
      <c r="D76">
        <v>92</v>
      </c>
      <c r="E76">
        <v>148</v>
      </c>
      <c r="F76">
        <v>108</v>
      </c>
      <c r="G76">
        <v>93</v>
      </c>
      <c r="H76">
        <v>991.30827067669168</v>
      </c>
      <c r="I76">
        <v>1232.386554621849</v>
      </c>
      <c r="J76">
        <v>1576.891304347826</v>
      </c>
      <c r="K76">
        <v>1104.2805705488461</v>
      </c>
      <c r="L76">
        <v>1385.5849105069201</v>
      </c>
      <c r="M76">
        <v>1782.669522210457</v>
      </c>
      <c r="N76">
        <v>167</v>
      </c>
      <c r="O76">
        <v>161</v>
      </c>
      <c r="P76">
        <v>179</v>
      </c>
      <c r="Q76">
        <v>7830</v>
      </c>
      <c r="R76">
        <v>9955</v>
      </c>
      <c r="S76">
        <v>10429</v>
      </c>
      <c r="T76">
        <v>40</v>
      </c>
      <c r="U76">
        <v>46</v>
      </c>
      <c r="V76">
        <v>37</v>
      </c>
    </row>
    <row r="77" spans="1:22" x14ac:dyDescent="0.2">
      <c r="A77" s="1">
        <v>76</v>
      </c>
      <c r="B77">
        <v>681</v>
      </c>
      <c r="C77">
        <v>679</v>
      </c>
      <c r="D77">
        <v>681</v>
      </c>
      <c r="E77">
        <v>682</v>
      </c>
      <c r="F77">
        <v>680</v>
      </c>
      <c r="G77">
        <v>682</v>
      </c>
      <c r="H77">
        <v>220.2055800293686</v>
      </c>
      <c r="I77">
        <v>220.85419734904269</v>
      </c>
      <c r="J77">
        <v>220.2055800293686</v>
      </c>
      <c r="K77">
        <v>11.15487355874555</v>
      </c>
      <c r="L77">
        <v>16.145657312583811</v>
      </c>
      <c r="M77">
        <v>11.286197895444239</v>
      </c>
      <c r="N77">
        <v>181</v>
      </c>
      <c r="O77">
        <v>151</v>
      </c>
      <c r="P77">
        <v>170</v>
      </c>
      <c r="Q77">
        <v>333</v>
      </c>
      <c r="R77">
        <v>424</v>
      </c>
      <c r="S77">
        <v>349</v>
      </c>
      <c r="T77">
        <v>0</v>
      </c>
      <c r="U77">
        <v>0</v>
      </c>
      <c r="V77">
        <v>0</v>
      </c>
    </row>
    <row r="78" spans="1:22" x14ac:dyDescent="0.2">
      <c r="A78" s="1">
        <v>77</v>
      </c>
      <c r="B78">
        <v>303</v>
      </c>
      <c r="C78">
        <v>301</v>
      </c>
      <c r="D78">
        <v>303</v>
      </c>
      <c r="E78">
        <v>304</v>
      </c>
      <c r="F78">
        <v>325</v>
      </c>
      <c r="G78">
        <v>304</v>
      </c>
      <c r="H78">
        <v>219.84158415841591</v>
      </c>
      <c r="I78">
        <v>221.31561461794021</v>
      </c>
      <c r="J78">
        <v>219.85148514851491</v>
      </c>
      <c r="K78">
        <v>45.289809828517981</v>
      </c>
      <c r="L78">
        <v>54.999485349449571</v>
      </c>
      <c r="M78">
        <v>45.529566728253933</v>
      </c>
      <c r="N78">
        <v>176</v>
      </c>
      <c r="O78">
        <v>192</v>
      </c>
      <c r="P78">
        <v>192</v>
      </c>
      <c r="Q78">
        <v>927</v>
      </c>
      <c r="R78">
        <v>929</v>
      </c>
      <c r="S78">
        <v>929</v>
      </c>
      <c r="T78">
        <v>0</v>
      </c>
      <c r="U78">
        <v>0</v>
      </c>
      <c r="V78">
        <v>0</v>
      </c>
    </row>
    <row r="79" spans="1:22" x14ac:dyDescent="0.2">
      <c r="A79" s="1">
        <v>78</v>
      </c>
      <c r="B79">
        <v>80</v>
      </c>
      <c r="C79">
        <v>95</v>
      </c>
      <c r="D79">
        <v>86</v>
      </c>
      <c r="E79">
        <v>81</v>
      </c>
      <c r="F79">
        <v>96</v>
      </c>
      <c r="G79">
        <v>87</v>
      </c>
      <c r="H79">
        <v>727.98749999999995</v>
      </c>
      <c r="I79">
        <v>612.0526315789474</v>
      </c>
      <c r="J79">
        <v>677.19767441860461</v>
      </c>
      <c r="K79">
        <v>543.58208290416485</v>
      </c>
      <c r="L79">
        <v>496.37889544051512</v>
      </c>
      <c r="M79">
        <v>545.04831560832224</v>
      </c>
      <c r="N79">
        <v>160</v>
      </c>
      <c r="O79">
        <v>158</v>
      </c>
      <c r="P79">
        <v>158</v>
      </c>
      <c r="Q79">
        <v>2632</v>
      </c>
      <c r="R79">
        <v>2142</v>
      </c>
      <c r="S79">
        <v>2631</v>
      </c>
      <c r="T79">
        <v>17</v>
      </c>
      <c r="U79">
        <v>18</v>
      </c>
      <c r="V79">
        <v>17</v>
      </c>
    </row>
    <row r="80" spans="1:22" x14ac:dyDescent="0.2">
      <c r="A80" s="1">
        <v>79</v>
      </c>
      <c r="B80">
        <v>380</v>
      </c>
      <c r="C80">
        <v>375</v>
      </c>
      <c r="D80">
        <v>380</v>
      </c>
      <c r="E80">
        <v>381</v>
      </c>
      <c r="F80">
        <v>376</v>
      </c>
      <c r="G80">
        <v>381</v>
      </c>
      <c r="H80">
        <v>225.4105263157895</v>
      </c>
      <c r="I80">
        <v>228.4133333333333</v>
      </c>
      <c r="J80">
        <v>225.40526315789469</v>
      </c>
      <c r="K80">
        <v>48.615175049616418</v>
      </c>
      <c r="L80">
        <v>71.814245926581776</v>
      </c>
      <c r="M80">
        <v>54.47135214418725</v>
      </c>
      <c r="N80">
        <v>163</v>
      </c>
      <c r="O80">
        <v>157</v>
      </c>
      <c r="P80">
        <v>163</v>
      </c>
      <c r="Q80">
        <v>700</v>
      </c>
      <c r="R80">
        <v>1354</v>
      </c>
      <c r="S80">
        <v>964</v>
      </c>
      <c r="T80">
        <v>0</v>
      </c>
      <c r="U80">
        <v>1</v>
      </c>
      <c r="V80">
        <v>0</v>
      </c>
    </row>
    <row r="81" spans="1:22" x14ac:dyDescent="0.2">
      <c r="A81" s="1">
        <v>80</v>
      </c>
      <c r="B81">
        <v>174</v>
      </c>
      <c r="C81">
        <v>125</v>
      </c>
      <c r="D81">
        <v>126</v>
      </c>
      <c r="E81">
        <v>166</v>
      </c>
      <c r="F81">
        <v>118</v>
      </c>
      <c r="G81">
        <v>127</v>
      </c>
      <c r="H81">
        <v>852.08620689655174</v>
      </c>
      <c r="I81">
        <v>1193.808</v>
      </c>
      <c r="J81">
        <v>1184.4603174603169</v>
      </c>
      <c r="K81">
        <v>1302.3740832191879</v>
      </c>
      <c r="L81">
        <v>1733.330030633743</v>
      </c>
      <c r="M81">
        <v>1731.4763626491399</v>
      </c>
      <c r="N81">
        <v>159</v>
      </c>
      <c r="O81">
        <v>173</v>
      </c>
      <c r="P81">
        <v>164</v>
      </c>
      <c r="Q81">
        <v>9157</v>
      </c>
      <c r="R81">
        <v>16198</v>
      </c>
      <c r="S81">
        <v>16196</v>
      </c>
      <c r="T81">
        <v>39</v>
      </c>
      <c r="U81">
        <v>43</v>
      </c>
      <c r="V81">
        <v>40</v>
      </c>
    </row>
    <row r="82" spans="1:22" x14ac:dyDescent="0.2">
      <c r="A82" s="1">
        <v>81</v>
      </c>
      <c r="B82">
        <v>429</v>
      </c>
      <c r="C82">
        <v>427</v>
      </c>
      <c r="D82">
        <v>430</v>
      </c>
      <c r="E82">
        <v>430</v>
      </c>
      <c r="F82">
        <v>428</v>
      </c>
      <c r="G82">
        <v>431</v>
      </c>
      <c r="H82">
        <v>256.19114219114221</v>
      </c>
      <c r="I82">
        <v>251.5292740046838</v>
      </c>
      <c r="J82">
        <v>255.37906976744179</v>
      </c>
      <c r="K82">
        <v>97.082539388224617</v>
      </c>
      <c r="L82">
        <v>88.603410102919057</v>
      </c>
      <c r="M82">
        <v>133.71122915072411</v>
      </c>
      <c r="N82">
        <v>195</v>
      </c>
      <c r="O82">
        <v>199</v>
      </c>
      <c r="P82">
        <v>198</v>
      </c>
      <c r="Q82">
        <v>1433</v>
      </c>
      <c r="R82">
        <v>1507</v>
      </c>
      <c r="S82">
        <v>2412</v>
      </c>
      <c r="T82">
        <v>2</v>
      </c>
      <c r="U82">
        <v>1</v>
      </c>
      <c r="V82">
        <v>2</v>
      </c>
    </row>
    <row r="83" spans="1:22" x14ac:dyDescent="0.2">
      <c r="A83" s="1">
        <v>82</v>
      </c>
      <c r="B83">
        <v>662</v>
      </c>
      <c r="C83">
        <v>524</v>
      </c>
      <c r="D83">
        <v>598</v>
      </c>
      <c r="E83">
        <v>602</v>
      </c>
      <c r="F83">
        <v>586</v>
      </c>
      <c r="G83">
        <v>554</v>
      </c>
      <c r="H83">
        <v>226.9607250755287</v>
      </c>
      <c r="I83">
        <v>261.32633587786262</v>
      </c>
      <c r="J83">
        <v>251.24749163879599</v>
      </c>
      <c r="K83">
        <v>72.88862640412512</v>
      </c>
      <c r="L83">
        <v>331.03966592250242</v>
      </c>
      <c r="M83">
        <v>76.056108302443377</v>
      </c>
      <c r="N83">
        <v>185</v>
      </c>
      <c r="O83">
        <v>164</v>
      </c>
      <c r="P83">
        <v>151</v>
      </c>
      <c r="Q83">
        <v>1644</v>
      </c>
      <c r="R83">
        <v>6064</v>
      </c>
      <c r="S83">
        <v>772</v>
      </c>
      <c r="T83">
        <v>1</v>
      </c>
      <c r="U83">
        <v>6</v>
      </c>
      <c r="V83">
        <v>0</v>
      </c>
    </row>
    <row r="84" spans="1:22" x14ac:dyDescent="0.2">
      <c r="A84" s="1">
        <v>83</v>
      </c>
    </row>
    <row r="85" spans="1:22" x14ac:dyDescent="0.2">
      <c r="A85" s="1">
        <v>84</v>
      </c>
      <c r="B85">
        <v>676</v>
      </c>
      <c r="C85">
        <v>676</v>
      </c>
      <c r="D85">
        <v>659</v>
      </c>
      <c r="E85">
        <v>677</v>
      </c>
      <c r="F85">
        <v>677</v>
      </c>
      <c r="G85">
        <v>660</v>
      </c>
      <c r="H85">
        <v>221.78550295857991</v>
      </c>
      <c r="I85">
        <v>221.78402366863909</v>
      </c>
      <c r="J85">
        <v>227.50531107738999</v>
      </c>
      <c r="K85">
        <v>8.4877164340696751</v>
      </c>
      <c r="L85">
        <v>8.3862733926181576</v>
      </c>
      <c r="M85">
        <v>29.42655406621024</v>
      </c>
      <c r="N85">
        <v>200</v>
      </c>
      <c r="O85">
        <v>201</v>
      </c>
      <c r="P85">
        <v>151</v>
      </c>
      <c r="Q85">
        <v>253</v>
      </c>
      <c r="R85">
        <v>253</v>
      </c>
      <c r="S85">
        <v>456</v>
      </c>
      <c r="T85">
        <v>0</v>
      </c>
      <c r="U85">
        <v>0</v>
      </c>
      <c r="V85">
        <v>0</v>
      </c>
    </row>
    <row r="86" spans="1:22" x14ac:dyDescent="0.2">
      <c r="A86" s="1">
        <v>85</v>
      </c>
      <c r="B86">
        <v>468</v>
      </c>
      <c r="C86">
        <v>469</v>
      </c>
      <c r="D86">
        <v>469</v>
      </c>
      <c r="E86">
        <v>469</v>
      </c>
      <c r="F86">
        <v>470</v>
      </c>
      <c r="G86">
        <v>470</v>
      </c>
      <c r="H86">
        <v>221.02136752136749</v>
      </c>
      <c r="I86">
        <v>220.5501066098081</v>
      </c>
      <c r="J86">
        <v>220.55223880597009</v>
      </c>
      <c r="K86">
        <v>22.191100436818651</v>
      </c>
      <c r="L86">
        <v>19.936441341540331</v>
      </c>
      <c r="M86">
        <v>19.931612252539551</v>
      </c>
      <c r="N86">
        <v>165</v>
      </c>
      <c r="O86">
        <v>173</v>
      </c>
      <c r="P86">
        <v>171</v>
      </c>
      <c r="Q86">
        <v>418</v>
      </c>
      <c r="R86">
        <v>390</v>
      </c>
      <c r="S86">
        <v>390</v>
      </c>
      <c r="T86">
        <v>0</v>
      </c>
      <c r="U86">
        <v>0</v>
      </c>
      <c r="V86">
        <v>0</v>
      </c>
    </row>
    <row r="87" spans="1:22" x14ac:dyDescent="0.2">
      <c r="A87" s="1">
        <v>86</v>
      </c>
      <c r="B87">
        <v>637</v>
      </c>
      <c r="C87">
        <v>667</v>
      </c>
      <c r="D87">
        <v>660</v>
      </c>
      <c r="E87">
        <v>638</v>
      </c>
      <c r="F87">
        <v>668</v>
      </c>
      <c r="G87">
        <v>661</v>
      </c>
      <c r="H87">
        <v>235.45682888540031</v>
      </c>
      <c r="I87">
        <v>225.1799100449775</v>
      </c>
      <c r="J87">
        <v>227.56969696969699</v>
      </c>
      <c r="K87">
        <v>89.736161691290619</v>
      </c>
      <c r="L87">
        <v>56.663439372786563</v>
      </c>
      <c r="M87">
        <v>44.480098940188682</v>
      </c>
      <c r="N87">
        <v>169</v>
      </c>
      <c r="O87">
        <v>190</v>
      </c>
      <c r="P87">
        <v>153</v>
      </c>
      <c r="Q87">
        <v>1656</v>
      </c>
      <c r="R87">
        <v>1327</v>
      </c>
      <c r="S87">
        <v>774</v>
      </c>
      <c r="T87">
        <v>2</v>
      </c>
      <c r="U87">
        <v>2</v>
      </c>
      <c r="V87">
        <v>0</v>
      </c>
    </row>
    <row r="88" spans="1:22" x14ac:dyDescent="0.2">
      <c r="A88" s="1">
        <v>87</v>
      </c>
    </row>
    <row r="89" spans="1:22" x14ac:dyDescent="0.2">
      <c r="A89" s="1">
        <v>88</v>
      </c>
      <c r="B89">
        <v>465</v>
      </c>
      <c r="C89">
        <v>465</v>
      </c>
      <c r="D89">
        <v>202</v>
      </c>
      <c r="E89">
        <v>204</v>
      </c>
      <c r="F89">
        <v>466</v>
      </c>
      <c r="G89">
        <v>466</v>
      </c>
      <c r="H89">
        <v>223.78709677419349</v>
      </c>
      <c r="I89">
        <v>223.32258064516131</v>
      </c>
      <c r="J89">
        <v>225.56435643564359</v>
      </c>
      <c r="K89">
        <v>19.446983775782002</v>
      </c>
      <c r="L89">
        <v>17.039609845027119</v>
      </c>
      <c r="M89">
        <v>16.615293465568051</v>
      </c>
      <c r="N89">
        <v>168</v>
      </c>
      <c r="O89">
        <v>190</v>
      </c>
      <c r="P89">
        <v>170</v>
      </c>
      <c r="Q89">
        <v>409</v>
      </c>
      <c r="R89">
        <v>271</v>
      </c>
      <c r="S89">
        <v>270</v>
      </c>
      <c r="T89">
        <v>0</v>
      </c>
      <c r="U89">
        <v>0</v>
      </c>
      <c r="V89">
        <v>0</v>
      </c>
    </row>
    <row r="90" spans="1:22" x14ac:dyDescent="0.2">
      <c r="A90" s="1">
        <v>89</v>
      </c>
      <c r="B90">
        <v>649</v>
      </c>
      <c r="C90">
        <v>650</v>
      </c>
      <c r="D90">
        <v>443</v>
      </c>
      <c r="E90">
        <v>650</v>
      </c>
      <c r="F90">
        <v>651</v>
      </c>
      <c r="G90">
        <v>444</v>
      </c>
      <c r="H90">
        <v>230.83975346687211</v>
      </c>
      <c r="I90">
        <v>230.49076923076919</v>
      </c>
      <c r="J90">
        <v>336.69525959367951</v>
      </c>
      <c r="K90">
        <v>62.340974654931273</v>
      </c>
      <c r="L90">
        <v>62.066672792395693</v>
      </c>
      <c r="M90">
        <v>212.01873828677861</v>
      </c>
      <c r="N90">
        <v>176</v>
      </c>
      <c r="O90">
        <v>196</v>
      </c>
      <c r="P90">
        <v>152</v>
      </c>
      <c r="Q90">
        <v>1677</v>
      </c>
      <c r="R90">
        <v>1685</v>
      </c>
      <c r="S90">
        <v>1693</v>
      </c>
      <c r="T90">
        <v>1</v>
      </c>
      <c r="U90">
        <v>1</v>
      </c>
      <c r="V90">
        <v>9</v>
      </c>
    </row>
    <row r="91" spans="1:22" x14ac:dyDescent="0.2">
      <c r="A91" s="1">
        <v>90</v>
      </c>
      <c r="B91">
        <v>673</v>
      </c>
      <c r="C91">
        <v>655</v>
      </c>
      <c r="D91">
        <v>274</v>
      </c>
      <c r="E91">
        <v>674</v>
      </c>
      <c r="F91">
        <v>656</v>
      </c>
      <c r="G91">
        <v>275</v>
      </c>
      <c r="H91">
        <v>239.21842496285291</v>
      </c>
      <c r="I91">
        <v>245.79083969465651</v>
      </c>
      <c r="J91">
        <v>586.20072992700727</v>
      </c>
      <c r="K91">
        <v>23.47639681967005</v>
      </c>
      <c r="L91">
        <v>61.723319026759697</v>
      </c>
      <c r="M91">
        <v>1513.0217078738931</v>
      </c>
      <c r="N91">
        <v>181</v>
      </c>
      <c r="O91">
        <v>209</v>
      </c>
      <c r="P91">
        <v>151</v>
      </c>
      <c r="Q91">
        <v>465</v>
      </c>
      <c r="R91">
        <v>1133</v>
      </c>
      <c r="S91">
        <v>15205</v>
      </c>
      <c r="T91">
        <v>0</v>
      </c>
      <c r="U91">
        <v>1</v>
      </c>
      <c r="V91">
        <v>18</v>
      </c>
    </row>
    <row r="93" spans="1:22" x14ac:dyDescent="0.2">
      <c r="H93">
        <f>MEDIAN(H2:H91)</f>
        <v>232.43357306482125</v>
      </c>
      <c r="I93">
        <f t="shared" ref="I93:Q93" si="0">MEDIAN(I2:I91)</f>
        <v>238.63364891920321</v>
      </c>
      <c r="J93">
        <f t="shared" si="0"/>
        <v>238.00820712176971</v>
      </c>
      <c r="K93">
        <f t="shared" si="0"/>
        <v>32.241148459693804</v>
      </c>
      <c r="L93">
        <f t="shared" si="0"/>
        <v>41.563000236503534</v>
      </c>
      <c r="M93">
        <f t="shared" si="0"/>
        <v>30.836892341040823</v>
      </c>
      <c r="N93">
        <f t="shared" si="0"/>
        <v>171</v>
      </c>
      <c r="O93">
        <f>MEDIAN(O2:O91)</f>
        <v>182.5</v>
      </c>
      <c r="P93">
        <f t="shared" si="0"/>
        <v>176</v>
      </c>
      <c r="Q93">
        <f t="shared" si="0"/>
        <v>679.5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V93"/>
  <sheetViews>
    <sheetView topLeftCell="A53" workbookViewId="0">
      <selection activeCell="J96" sqref="J96"/>
    </sheetView>
  </sheetViews>
  <sheetFormatPr baseColWidth="10" defaultColWidth="8.83203125" defaultRowHeight="15" x14ac:dyDescent="0.2"/>
  <sheetData>
    <row r="1" spans="1:22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234</v>
      </c>
      <c r="C2">
        <v>185</v>
      </c>
      <c r="D2">
        <v>60</v>
      </c>
      <c r="E2">
        <v>235</v>
      </c>
      <c r="F2">
        <v>186</v>
      </c>
      <c r="G2">
        <v>61</v>
      </c>
      <c r="H2">
        <v>319.30341880341882</v>
      </c>
      <c r="I2">
        <v>403.87027027027028</v>
      </c>
      <c r="J2">
        <v>1187.333333333333</v>
      </c>
      <c r="K2">
        <v>34.566193093828197</v>
      </c>
      <c r="L2">
        <v>187.22003571835759</v>
      </c>
      <c r="M2">
        <v>1295.293313640421</v>
      </c>
      <c r="N2">
        <v>191</v>
      </c>
      <c r="O2">
        <v>160</v>
      </c>
      <c r="P2">
        <v>192</v>
      </c>
      <c r="Q2">
        <v>508</v>
      </c>
      <c r="R2">
        <v>1544</v>
      </c>
      <c r="S2">
        <v>6592</v>
      </c>
      <c r="T2">
        <v>0</v>
      </c>
      <c r="U2">
        <v>5</v>
      </c>
      <c r="V2">
        <v>22</v>
      </c>
    </row>
    <row r="3" spans="1:22" x14ac:dyDescent="0.2">
      <c r="A3" s="1">
        <v>2</v>
      </c>
      <c r="B3">
        <v>163</v>
      </c>
      <c r="C3">
        <v>162</v>
      </c>
      <c r="D3">
        <v>160</v>
      </c>
      <c r="E3">
        <v>164</v>
      </c>
      <c r="F3">
        <v>163</v>
      </c>
      <c r="G3">
        <v>161</v>
      </c>
      <c r="H3">
        <v>438.96932515337431</v>
      </c>
      <c r="I3">
        <v>441.66666666666669</v>
      </c>
      <c r="J3">
        <v>447.17500000000001</v>
      </c>
      <c r="K3">
        <v>254.75215317455641</v>
      </c>
      <c r="L3">
        <v>257.34596188667672</v>
      </c>
      <c r="M3">
        <v>272.01319219765747</v>
      </c>
      <c r="N3">
        <v>181</v>
      </c>
      <c r="O3">
        <v>188</v>
      </c>
      <c r="P3">
        <v>155</v>
      </c>
      <c r="Q3">
        <v>2041</v>
      </c>
      <c r="R3">
        <v>2041</v>
      </c>
      <c r="S3">
        <v>2041</v>
      </c>
      <c r="T3">
        <v>7</v>
      </c>
      <c r="U3">
        <v>7</v>
      </c>
      <c r="V3">
        <v>7</v>
      </c>
    </row>
    <row r="4" spans="1:22" x14ac:dyDescent="0.2">
      <c r="A4" s="1">
        <v>3</v>
      </c>
      <c r="B4">
        <v>285</v>
      </c>
      <c r="C4">
        <v>284</v>
      </c>
      <c r="D4">
        <v>284</v>
      </c>
      <c r="E4">
        <v>286</v>
      </c>
      <c r="F4">
        <v>285</v>
      </c>
      <c r="G4">
        <v>285</v>
      </c>
      <c r="H4">
        <v>262.86666666666667</v>
      </c>
      <c r="I4">
        <v>263.79225352112678</v>
      </c>
      <c r="J4">
        <v>263.79225352112678</v>
      </c>
      <c r="K4">
        <v>26.080518154937931</v>
      </c>
      <c r="L4">
        <v>36.036433417023929</v>
      </c>
      <c r="M4">
        <v>32.579597712830129</v>
      </c>
      <c r="N4">
        <v>152</v>
      </c>
      <c r="O4">
        <v>153</v>
      </c>
      <c r="P4">
        <v>152</v>
      </c>
      <c r="Q4">
        <v>542</v>
      </c>
      <c r="R4">
        <v>540</v>
      </c>
      <c r="S4">
        <v>510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224</v>
      </c>
      <c r="C5">
        <v>224</v>
      </c>
      <c r="D5">
        <v>222</v>
      </c>
      <c r="E5">
        <v>225</v>
      </c>
      <c r="F5">
        <v>225</v>
      </c>
      <c r="G5">
        <v>223</v>
      </c>
      <c r="H5">
        <v>332.92410714285722</v>
      </c>
      <c r="I5">
        <v>332.92857142857139</v>
      </c>
      <c r="J5">
        <v>335.92792792792801</v>
      </c>
      <c r="K5">
        <v>28.333987404679888</v>
      </c>
      <c r="L5">
        <v>36.566350844643082</v>
      </c>
      <c r="M5">
        <v>42.463763995913787</v>
      </c>
      <c r="N5">
        <v>230</v>
      </c>
      <c r="O5">
        <v>165</v>
      </c>
      <c r="P5">
        <v>278</v>
      </c>
      <c r="Q5">
        <v>457</v>
      </c>
      <c r="R5">
        <v>658</v>
      </c>
      <c r="S5">
        <v>725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185</v>
      </c>
      <c r="C7">
        <v>188</v>
      </c>
      <c r="D7">
        <v>184</v>
      </c>
      <c r="E7">
        <v>186</v>
      </c>
      <c r="F7">
        <v>189</v>
      </c>
      <c r="G7">
        <v>185</v>
      </c>
      <c r="H7">
        <v>403.49729729729728</v>
      </c>
      <c r="I7">
        <v>397.05851063829789</v>
      </c>
      <c r="J7">
        <v>404.84239130434781</v>
      </c>
      <c r="K7">
        <v>45.837392691367768</v>
      </c>
      <c r="L7">
        <v>64.870185318252979</v>
      </c>
      <c r="M7">
        <v>89.884395375144706</v>
      </c>
      <c r="N7">
        <v>167</v>
      </c>
      <c r="O7">
        <v>163</v>
      </c>
      <c r="P7">
        <v>159</v>
      </c>
      <c r="Q7">
        <v>823</v>
      </c>
      <c r="R7">
        <v>641</v>
      </c>
      <c r="S7">
        <v>772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201</v>
      </c>
      <c r="C8">
        <v>200</v>
      </c>
      <c r="D8">
        <v>200</v>
      </c>
      <c r="E8">
        <v>202</v>
      </c>
      <c r="F8">
        <v>201</v>
      </c>
      <c r="G8">
        <v>201</v>
      </c>
      <c r="H8">
        <v>369.95522388059698</v>
      </c>
      <c r="I8">
        <v>371.81</v>
      </c>
      <c r="J8">
        <v>371.80500000000001</v>
      </c>
      <c r="K8">
        <v>36.329918594384807</v>
      </c>
      <c r="L8">
        <v>35.93746522829867</v>
      </c>
      <c r="M8">
        <v>36.366600378858323</v>
      </c>
      <c r="N8">
        <v>171</v>
      </c>
      <c r="O8">
        <v>230</v>
      </c>
      <c r="P8">
        <v>191</v>
      </c>
      <c r="Q8">
        <v>536</v>
      </c>
      <c r="R8">
        <v>530</v>
      </c>
      <c r="S8">
        <v>542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164</v>
      </c>
      <c r="C9">
        <v>127</v>
      </c>
      <c r="D9">
        <v>149</v>
      </c>
      <c r="E9">
        <v>165</v>
      </c>
      <c r="F9">
        <v>128</v>
      </c>
      <c r="G9">
        <v>150</v>
      </c>
      <c r="H9">
        <v>205.25</v>
      </c>
      <c r="I9">
        <v>262.2755905511811</v>
      </c>
      <c r="J9">
        <v>225.91275167785241</v>
      </c>
      <c r="K9">
        <v>74.747868632026396</v>
      </c>
      <c r="L9">
        <v>170.05791157231991</v>
      </c>
      <c r="M9">
        <v>119.3999033956503</v>
      </c>
      <c r="N9">
        <v>155</v>
      </c>
      <c r="O9">
        <v>172</v>
      </c>
      <c r="P9">
        <v>172</v>
      </c>
      <c r="Q9">
        <v>889</v>
      </c>
      <c r="R9">
        <v>1269</v>
      </c>
      <c r="S9">
        <v>1084</v>
      </c>
      <c r="T9">
        <v>0</v>
      </c>
      <c r="U9">
        <v>3</v>
      </c>
      <c r="V9">
        <v>2</v>
      </c>
    </row>
    <row r="10" spans="1:22" x14ac:dyDescent="0.2">
      <c r="A10" s="1">
        <v>9</v>
      </c>
      <c r="B10">
        <v>183</v>
      </c>
      <c r="C10">
        <v>182</v>
      </c>
      <c r="D10">
        <v>180</v>
      </c>
      <c r="E10">
        <v>184</v>
      </c>
      <c r="F10">
        <v>183</v>
      </c>
      <c r="G10">
        <v>181</v>
      </c>
      <c r="H10">
        <v>406.36612021857923</v>
      </c>
      <c r="I10">
        <v>408.53296703296701</v>
      </c>
      <c r="J10">
        <v>413.11666666666667</v>
      </c>
      <c r="K10">
        <v>116.5670695479493</v>
      </c>
      <c r="L10">
        <v>125.6801891981944</v>
      </c>
      <c r="M10">
        <v>196.54243930237399</v>
      </c>
      <c r="N10">
        <v>172</v>
      </c>
      <c r="O10">
        <v>151</v>
      </c>
      <c r="P10">
        <v>168</v>
      </c>
      <c r="Q10">
        <v>1561</v>
      </c>
      <c r="R10">
        <v>1972</v>
      </c>
      <c r="S10">
        <v>2832</v>
      </c>
      <c r="T10">
        <v>1</v>
      </c>
      <c r="U10">
        <v>1</v>
      </c>
      <c r="V10">
        <v>2</v>
      </c>
    </row>
    <row r="11" spans="1:22" x14ac:dyDescent="0.2">
      <c r="A11" s="1">
        <v>10</v>
      </c>
      <c r="B11">
        <v>221</v>
      </c>
      <c r="C11">
        <v>220</v>
      </c>
      <c r="D11">
        <v>214</v>
      </c>
      <c r="E11">
        <v>222</v>
      </c>
      <c r="F11">
        <v>221</v>
      </c>
      <c r="G11">
        <v>215</v>
      </c>
      <c r="H11">
        <v>337.6018099547511</v>
      </c>
      <c r="I11">
        <v>339.12272727272727</v>
      </c>
      <c r="J11">
        <v>348.63551401869159</v>
      </c>
      <c r="K11">
        <v>45.386469713702233</v>
      </c>
      <c r="L11">
        <v>57.460237844680812</v>
      </c>
      <c r="M11">
        <v>122.7450422603691</v>
      </c>
      <c r="N11">
        <v>260</v>
      </c>
      <c r="O11">
        <v>301</v>
      </c>
      <c r="P11">
        <v>293</v>
      </c>
      <c r="Q11">
        <v>663</v>
      </c>
      <c r="R11">
        <v>997</v>
      </c>
      <c r="S11">
        <v>1671</v>
      </c>
      <c r="T11">
        <v>0</v>
      </c>
      <c r="U11">
        <v>0</v>
      </c>
      <c r="V11">
        <v>2</v>
      </c>
    </row>
    <row r="12" spans="1:22" x14ac:dyDescent="0.2">
      <c r="A12" s="1">
        <v>11</v>
      </c>
      <c r="B12">
        <v>197</v>
      </c>
      <c r="C12">
        <v>197</v>
      </c>
      <c r="D12">
        <v>196</v>
      </c>
      <c r="E12">
        <v>198</v>
      </c>
      <c r="F12">
        <v>198</v>
      </c>
      <c r="G12">
        <v>197</v>
      </c>
      <c r="H12">
        <v>380.36040609137058</v>
      </c>
      <c r="I12">
        <v>380.35025380710658</v>
      </c>
      <c r="J12">
        <v>380.63265306122452</v>
      </c>
      <c r="K12">
        <v>33.696076436006422</v>
      </c>
      <c r="L12">
        <v>31.148167346039571</v>
      </c>
      <c r="M12">
        <v>48.643314612749343</v>
      </c>
      <c r="N12">
        <v>244</v>
      </c>
      <c r="O12">
        <v>250</v>
      </c>
      <c r="P12">
        <v>171</v>
      </c>
      <c r="Q12">
        <v>530</v>
      </c>
      <c r="R12">
        <v>467</v>
      </c>
      <c r="S12">
        <v>776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185</v>
      </c>
      <c r="C13">
        <v>113</v>
      </c>
      <c r="D13">
        <v>194</v>
      </c>
      <c r="E13">
        <v>186</v>
      </c>
      <c r="F13">
        <v>114</v>
      </c>
      <c r="G13">
        <v>195</v>
      </c>
      <c r="H13">
        <v>403.47027027027019</v>
      </c>
      <c r="I13">
        <v>660.54867256637169</v>
      </c>
      <c r="J13">
        <v>384.7525773195876</v>
      </c>
      <c r="K13">
        <v>748.40065736762688</v>
      </c>
      <c r="L13">
        <v>3926.942990398762</v>
      </c>
      <c r="M13">
        <v>630.51646781430929</v>
      </c>
      <c r="N13">
        <v>154</v>
      </c>
      <c r="O13">
        <v>258</v>
      </c>
      <c r="P13">
        <v>256</v>
      </c>
      <c r="Q13">
        <v>8640</v>
      </c>
      <c r="R13">
        <v>42030</v>
      </c>
      <c r="S13">
        <v>5735</v>
      </c>
      <c r="T13">
        <v>6</v>
      </c>
      <c r="U13">
        <v>1</v>
      </c>
      <c r="V13">
        <v>3</v>
      </c>
    </row>
    <row r="14" spans="1:22" x14ac:dyDescent="0.2">
      <c r="A14" s="1">
        <v>13</v>
      </c>
    </row>
    <row r="15" spans="1:22" x14ac:dyDescent="0.2">
      <c r="A15" s="1">
        <v>14</v>
      </c>
      <c r="B15">
        <v>278</v>
      </c>
      <c r="C15">
        <v>279</v>
      </c>
      <c r="D15">
        <v>237</v>
      </c>
      <c r="E15">
        <v>279</v>
      </c>
      <c r="F15">
        <v>280</v>
      </c>
      <c r="G15">
        <v>238</v>
      </c>
      <c r="H15">
        <v>268.48561151079139</v>
      </c>
      <c r="I15">
        <v>268.30107526881721</v>
      </c>
      <c r="J15">
        <v>315.84810126582278</v>
      </c>
      <c r="K15">
        <v>31.725665363637351</v>
      </c>
      <c r="L15">
        <v>19.993048223242599</v>
      </c>
      <c r="M15">
        <v>175.16392481849741</v>
      </c>
      <c r="N15">
        <v>198</v>
      </c>
      <c r="O15">
        <v>232</v>
      </c>
      <c r="P15">
        <v>213</v>
      </c>
      <c r="Q15">
        <v>361</v>
      </c>
      <c r="R15">
        <v>317</v>
      </c>
      <c r="S15">
        <v>1472</v>
      </c>
      <c r="T15">
        <v>0</v>
      </c>
      <c r="U15">
        <v>0</v>
      </c>
      <c r="V15">
        <v>6</v>
      </c>
    </row>
    <row r="16" spans="1:22" x14ac:dyDescent="0.2">
      <c r="A16" s="1">
        <v>15</v>
      </c>
      <c r="B16">
        <v>178</v>
      </c>
      <c r="C16">
        <v>178</v>
      </c>
      <c r="D16">
        <v>169</v>
      </c>
      <c r="E16">
        <v>179</v>
      </c>
      <c r="F16">
        <v>179</v>
      </c>
      <c r="G16">
        <v>170</v>
      </c>
      <c r="H16">
        <v>422.96629213483152</v>
      </c>
      <c r="I16">
        <v>422.96067415730329</v>
      </c>
      <c r="J16">
        <v>445.48520710059171</v>
      </c>
      <c r="K16">
        <v>231.09847972658059</v>
      </c>
      <c r="L16">
        <v>244.1809637901961</v>
      </c>
      <c r="M16">
        <v>263.36883666277919</v>
      </c>
      <c r="N16">
        <v>151</v>
      </c>
      <c r="O16">
        <v>151</v>
      </c>
      <c r="P16">
        <v>152</v>
      </c>
      <c r="Q16">
        <v>1565</v>
      </c>
      <c r="R16">
        <v>1565</v>
      </c>
      <c r="S16">
        <v>1565</v>
      </c>
      <c r="T16">
        <v>5</v>
      </c>
      <c r="U16">
        <v>6</v>
      </c>
      <c r="V16">
        <v>9</v>
      </c>
    </row>
    <row r="17" spans="1:22" x14ac:dyDescent="0.2">
      <c r="A17" s="1">
        <v>16</v>
      </c>
      <c r="B17">
        <v>140</v>
      </c>
      <c r="C17">
        <v>88</v>
      </c>
      <c r="D17">
        <v>94</v>
      </c>
      <c r="E17">
        <v>141</v>
      </c>
      <c r="F17">
        <v>89</v>
      </c>
      <c r="G17">
        <v>95</v>
      </c>
      <c r="H17">
        <v>533.42142857142858</v>
      </c>
      <c r="I17">
        <v>848.5795454545455</v>
      </c>
      <c r="J17">
        <v>794.42553191489367</v>
      </c>
      <c r="K17">
        <v>478.77927910328782</v>
      </c>
      <c r="L17">
        <v>791.56402318144376</v>
      </c>
      <c r="M17">
        <v>653.86058639276155</v>
      </c>
      <c r="N17">
        <v>163</v>
      </c>
      <c r="O17">
        <v>200</v>
      </c>
      <c r="P17">
        <v>202</v>
      </c>
      <c r="Q17">
        <v>3323</v>
      </c>
      <c r="R17">
        <v>3684</v>
      </c>
      <c r="S17">
        <v>2959</v>
      </c>
      <c r="T17">
        <v>13</v>
      </c>
      <c r="U17">
        <v>26</v>
      </c>
      <c r="V17">
        <v>27</v>
      </c>
    </row>
    <row r="18" spans="1:22" x14ac:dyDescent="0.2">
      <c r="A18" s="1">
        <v>17</v>
      </c>
      <c r="B18">
        <v>193</v>
      </c>
      <c r="C18">
        <v>203</v>
      </c>
      <c r="D18">
        <v>203</v>
      </c>
      <c r="E18">
        <v>194</v>
      </c>
      <c r="F18">
        <v>204</v>
      </c>
      <c r="G18">
        <v>204</v>
      </c>
      <c r="H18">
        <v>384.26943005181352</v>
      </c>
      <c r="I18">
        <v>365.33990147783248</v>
      </c>
      <c r="J18">
        <v>365.33990147783248</v>
      </c>
      <c r="K18">
        <v>173.71522418226419</v>
      </c>
      <c r="L18">
        <v>29.785166984045478</v>
      </c>
      <c r="M18">
        <v>29.825195906839149</v>
      </c>
      <c r="N18">
        <v>151</v>
      </c>
      <c r="O18">
        <v>298</v>
      </c>
      <c r="P18">
        <v>298</v>
      </c>
      <c r="Q18">
        <v>1425</v>
      </c>
      <c r="R18">
        <v>436</v>
      </c>
      <c r="S18">
        <v>437</v>
      </c>
      <c r="T18">
        <v>3</v>
      </c>
      <c r="U18">
        <v>0</v>
      </c>
      <c r="V18">
        <v>0</v>
      </c>
    </row>
    <row r="19" spans="1:22" x14ac:dyDescent="0.2">
      <c r="A19" s="1">
        <v>18</v>
      </c>
    </row>
    <row r="20" spans="1:22" x14ac:dyDescent="0.2">
      <c r="A20" s="1">
        <v>19</v>
      </c>
      <c r="B20">
        <v>134</v>
      </c>
      <c r="C20">
        <v>157</v>
      </c>
      <c r="D20">
        <v>168</v>
      </c>
      <c r="E20">
        <v>135</v>
      </c>
      <c r="F20">
        <v>158</v>
      </c>
      <c r="G20">
        <v>169</v>
      </c>
      <c r="H20">
        <v>556.74626865671644</v>
      </c>
      <c r="I20">
        <v>474.45222929936313</v>
      </c>
      <c r="J20">
        <v>443.42857142857139</v>
      </c>
      <c r="K20">
        <v>337.60691843762601</v>
      </c>
      <c r="L20">
        <v>248.39932299599801</v>
      </c>
      <c r="M20">
        <v>148.42190113211561</v>
      </c>
      <c r="N20">
        <v>192</v>
      </c>
      <c r="O20">
        <v>169</v>
      </c>
      <c r="P20">
        <v>169</v>
      </c>
      <c r="Q20">
        <v>2905</v>
      </c>
      <c r="R20">
        <v>1723</v>
      </c>
      <c r="S20">
        <v>1436</v>
      </c>
      <c r="T20">
        <v>11</v>
      </c>
      <c r="U20">
        <v>8</v>
      </c>
      <c r="V20">
        <v>2</v>
      </c>
    </row>
    <row r="21" spans="1:22" x14ac:dyDescent="0.2">
      <c r="A21" s="1">
        <v>20</v>
      </c>
      <c r="B21">
        <v>113</v>
      </c>
      <c r="C21">
        <v>104</v>
      </c>
      <c r="D21">
        <v>112</v>
      </c>
      <c r="E21">
        <v>114</v>
      </c>
      <c r="F21">
        <v>105</v>
      </c>
      <c r="G21">
        <v>113</v>
      </c>
      <c r="H21">
        <v>321.88495575221242</v>
      </c>
      <c r="I21">
        <v>348.33653846153851</v>
      </c>
      <c r="J21">
        <v>321.78571428571428</v>
      </c>
      <c r="K21">
        <v>46.288642585023993</v>
      </c>
      <c r="L21">
        <v>121.4934262936132</v>
      </c>
      <c r="M21">
        <v>72.139308245087804</v>
      </c>
      <c r="N21">
        <v>193</v>
      </c>
      <c r="O21">
        <v>172</v>
      </c>
      <c r="P21">
        <v>164</v>
      </c>
      <c r="Q21">
        <v>496</v>
      </c>
      <c r="R21">
        <v>1180</v>
      </c>
      <c r="S21">
        <v>580</v>
      </c>
      <c r="T21">
        <v>0</v>
      </c>
      <c r="U21">
        <v>1</v>
      </c>
      <c r="V21">
        <v>0</v>
      </c>
    </row>
    <row r="22" spans="1:22" x14ac:dyDescent="0.2">
      <c r="A22" s="1">
        <v>21</v>
      </c>
      <c r="B22">
        <v>173</v>
      </c>
      <c r="C22">
        <v>172</v>
      </c>
      <c r="D22">
        <v>116</v>
      </c>
      <c r="E22">
        <v>174</v>
      </c>
      <c r="F22">
        <v>173</v>
      </c>
      <c r="G22">
        <v>117</v>
      </c>
      <c r="H22">
        <v>214.4566473988439</v>
      </c>
      <c r="I22">
        <v>214.07558139534879</v>
      </c>
      <c r="J22">
        <v>318.69827586206901</v>
      </c>
      <c r="K22">
        <v>64.404739680755483</v>
      </c>
      <c r="L22">
        <v>73.094508135310974</v>
      </c>
      <c r="M22">
        <v>243.19304265747709</v>
      </c>
      <c r="N22">
        <v>151</v>
      </c>
      <c r="O22">
        <v>151</v>
      </c>
      <c r="P22">
        <v>152</v>
      </c>
      <c r="Q22">
        <v>460</v>
      </c>
      <c r="R22">
        <v>553</v>
      </c>
      <c r="S22">
        <v>1388</v>
      </c>
      <c r="T22">
        <v>0</v>
      </c>
      <c r="U22">
        <v>0</v>
      </c>
      <c r="V22">
        <v>4</v>
      </c>
    </row>
    <row r="23" spans="1:22" x14ac:dyDescent="0.2">
      <c r="A23" s="1">
        <v>22</v>
      </c>
      <c r="B23">
        <v>189</v>
      </c>
      <c r="C23">
        <v>185</v>
      </c>
      <c r="D23">
        <v>97</v>
      </c>
      <c r="E23">
        <v>190</v>
      </c>
      <c r="F23">
        <v>186</v>
      </c>
      <c r="G23">
        <v>98</v>
      </c>
      <c r="H23">
        <v>395.33333333333331</v>
      </c>
      <c r="I23">
        <v>403.8</v>
      </c>
      <c r="J23">
        <v>736.28865979381442</v>
      </c>
      <c r="K23">
        <v>87.985915217128621</v>
      </c>
      <c r="L23">
        <v>82.629726727918182</v>
      </c>
      <c r="M23">
        <v>1344.0748673868191</v>
      </c>
      <c r="N23">
        <v>204</v>
      </c>
      <c r="O23">
        <v>190</v>
      </c>
      <c r="P23">
        <v>165</v>
      </c>
      <c r="Q23">
        <v>891</v>
      </c>
      <c r="R23">
        <v>1027</v>
      </c>
      <c r="S23">
        <v>9304</v>
      </c>
      <c r="T23">
        <v>0</v>
      </c>
      <c r="U23">
        <v>1</v>
      </c>
      <c r="V23">
        <v>8</v>
      </c>
    </row>
    <row r="24" spans="1:22" x14ac:dyDescent="0.2">
      <c r="A24" s="1">
        <v>23</v>
      </c>
      <c r="B24">
        <v>186</v>
      </c>
      <c r="C24">
        <v>193</v>
      </c>
      <c r="D24">
        <v>192</v>
      </c>
      <c r="E24">
        <v>187</v>
      </c>
      <c r="F24">
        <v>194</v>
      </c>
      <c r="G24">
        <v>193</v>
      </c>
      <c r="H24">
        <v>400.82258064516128</v>
      </c>
      <c r="I24">
        <v>386.28497409326422</v>
      </c>
      <c r="J24">
        <v>388.29166666666669</v>
      </c>
      <c r="K24">
        <v>85.39147198261854</v>
      </c>
      <c r="L24">
        <v>70.909027928721457</v>
      </c>
      <c r="M24">
        <v>81.887985894494278</v>
      </c>
      <c r="N24">
        <v>221</v>
      </c>
      <c r="O24">
        <v>170</v>
      </c>
      <c r="P24">
        <v>174</v>
      </c>
      <c r="Q24">
        <v>1101</v>
      </c>
      <c r="R24">
        <v>781</v>
      </c>
      <c r="S24">
        <v>1008</v>
      </c>
      <c r="T24">
        <v>1</v>
      </c>
      <c r="U24">
        <v>0</v>
      </c>
      <c r="V24">
        <v>1</v>
      </c>
    </row>
    <row r="25" spans="1:22" x14ac:dyDescent="0.2">
      <c r="A25" s="1">
        <v>24</v>
      </c>
      <c r="B25">
        <v>149</v>
      </c>
      <c r="C25">
        <v>79</v>
      </c>
      <c r="D25">
        <v>92</v>
      </c>
      <c r="E25">
        <v>150</v>
      </c>
      <c r="F25">
        <v>80</v>
      </c>
      <c r="G25">
        <v>93</v>
      </c>
      <c r="H25">
        <v>497.54362416107381</v>
      </c>
      <c r="I25">
        <v>928.10126582278485</v>
      </c>
      <c r="J25">
        <v>808.554347826087</v>
      </c>
      <c r="K25">
        <v>371.35053890661879</v>
      </c>
      <c r="L25">
        <v>1124.443766706702</v>
      </c>
      <c r="M25">
        <v>688.38484898387992</v>
      </c>
      <c r="N25">
        <v>158</v>
      </c>
      <c r="O25">
        <v>160</v>
      </c>
      <c r="P25">
        <v>154</v>
      </c>
      <c r="Q25">
        <v>2109</v>
      </c>
      <c r="R25">
        <v>7096</v>
      </c>
      <c r="S25">
        <v>3120</v>
      </c>
      <c r="T25">
        <v>15</v>
      </c>
      <c r="U25">
        <v>26</v>
      </c>
      <c r="V25">
        <v>26</v>
      </c>
    </row>
    <row r="26" spans="1:22" x14ac:dyDescent="0.2">
      <c r="A26" s="1">
        <v>25</v>
      </c>
      <c r="B26">
        <v>126</v>
      </c>
      <c r="C26">
        <v>126</v>
      </c>
      <c r="D26">
        <v>114</v>
      </c>
      <c r="E26">
        <v>127</v>
      </c>
      <c r="F26">
        <v>127</v>
      </c>
      <c r="G26">
        <v>115</v>
      </c>
      <c r="H26">
        <v>449.67460317460319</v>
      </c>
      <c r="I26">
        <v>449.67460317460319</v>
      </c>
      <c r="J26">
        <v>496.17543859649118</v>
      </c>
      <c r="K26">
        <v>123.9821812594103</v>
      </c>
      <c r="L26">
        <v>75.024137914682299</v>
      </c>
      <c r="M26">
        <v>178.45691806088169</v>
      </c>
      <c r="N26">
        <v>170</v>
      </c>
      <c r="O26">
        <v>157</v>
      </c>
      <c r="P26">
        <v>200</v>
      </c>
      <c r="Q26">
        <v>933</v>
      </c>
      <c r="R26">
        <v>596</v>
      </c>
      <c r="S26">
        <v>1560</v>
      </c>
      <c r="T26">
        <v>0</v>
      </c>
      <c r="U26">
        <v>0</v>
      </c>
      <c r="V26">
        <v>2</v>
      </c>
    </row>
    <row r="27" spans="1:22" x14ac:dyDescent="0.2">
      <c r="A27" s="1">
        <v>26</v>
      </c>
      <c r="B27">
        <v>183</v>
      </c>
      <c r="C27">
        <v>187</v>
      </c>
      <c r="D27">
        <v>186</v>
      </c>
      <c r="E27">
        <v>184</v>
      </c>
      <c r="F27">
        <v>188</v>
      </c>
      <c r="G27">
        <v>187</v>
      </c>
      <c r="H27">
        <v>406.61748633879779</v>
      </c>
      <c r="I27">
        <v>397.9197860962567</v>
      </c>
      <c r="J27">
        <v>400.05376344086022</v>
      </c>
      <c r="K27">
        <v>255.77135247617741</v>
      </c>
      <c r="L27">
        <v>173.04902961131091</v>
      </c>
      <c r="M27">
        <v>193.18387071564459</v>
      </c>
      <c r="N27">
        <v>180</v>
      </c>
      <c r="O27">
        <v>200</v>
      </c>
      <c r="P27">
        <v>152</v>
      </c>
      <c r="Q27">
        <v>3123</v>
      </c>
      <c r="R27">
        <v>1892</v>
      </c>
      <c r="S27">
        <v>2204</v>
      </c>
      <c r="T27">
        <v>4</v>
      </c>
      <c r="U27">
        <v>4</v>
      </c>
      <c r="V27">
        <v>4</v>
      </c>
    </row>
    <row r="28" spans="1:22" x14ac:dyDescent="0.2">
      <c r="A28" s="1">
        <v>27</v>
      </c>
      <c r="B28">
        <v>155</v>
      </c>
      <c r="C28">
        <v>171</v>
      </c>
      <c r="D28">
        <v>175</v>
      </c>
      <c r="E28">
        <v>156</v>
      </c>
      <c r="F28">
        <v>172</v>
      </c>
      <c r="G28">
        <v>176</v>
      </c>
      <c r="H28">
        <v>481.66451612903228</v>
      </c>
      <c r="I28">
        <v>436.56725146198829</v>
      </c>
      <c r="J28">
        <v>425.82285714285712</v>
      </c>
      <c r="K28">
        <v>337.99385757538988</v>
      </c>
      <c r="L28">
        <v>330.61749692683509</v>
      </c>
      <c r="M28">
        <v>307.0421692983262</v>
      </c>
      <c r="N28">
        <v>152</v>
      </c>
      <c r="O28">
        <v>156</v>
      </c>
      <c r="P28">
        <v>156</v>
      </c>
      <c r="Q28">
        <v>2356</v>
      </c>
      <c r="R28">
        <v>3472</v>
      </c>
      <c r="S28">
        <v>3540</v>
      </c>
      <c r="T28">
        <v>10</v>
      </c>
      <c r="U28">
        <v>9</v>
      </c>
      <c r="V28">
        <v>8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</row>
    <row r="32" spans="1:22" x14ac:dyDescent="0.2">
      <c r="A32" s="1">
        <v>31</v>
      </c>
      <c r="B32">
        <v>161</v>
      </c>
      <c r="C32">
        <v>192</v>
      </c>
      <c r="D32">
        <v>192</v>
      </c>
      <c r="E32">
        <v>162</v>
      </c>
      <c r="F32">
        <v>193</v>
      </c>
      <c r="G32">
        <v>193</v>
      </c>
      <c r="H32">
        <v>445.3478260869565</v>
      </c>
      <c r="I32">
        <v>388.07291666666669</v>
      </c>
      <c r="J32">
        <v>388.05729166666669</v>
      </c>
      <c r="K32">
        <v>337.5765517047497</v>
      </c>
      <c r="L32">
        <v>41.691774721240058</v>
      </c>
      <c r="M32">
        <v>42.432352679094663</v>
      </c>
      <c r="N32">
        <v>163</v>
      </c>
      <c r="O32">
        <v>298</v>
      </c>
      <c r="P32">
        <v>289</v>
      </c>
      <c r="Q32">
        <v>3515</v>
      </c>
      <c r="R32">
        <v>523</v>
      </c>
      <c r="S32">
        <v>538</v>
      </c>
      <c r="T32">
        <v>4</v>
      </c>
      <c r="U32">
        <v>0</v>
      </c>
      <c r="V32">
        <v>0</v>
      </c>
    </row>
    <row r="33" spans="1:22" x14ac:dyDescent="0.2">
      <c r="A33" s="1">
        <v>32</v>
      </c>
      <c r="B33">
        <v>195</v>
      </c>
      <c r="C33">
        <v>193</v>
      </c>
      <c r="D33">
        <v>193</v>
      </c>
      <c r="E33">
        <v>196</v>
      </c>
      <c r="F33">
        <v>194</v>
      </c>
      <c r="G33">
        <v>194</v>
      </c>
      <c r="H33">
        <v>383.52307692307693</v>
      </c>
      <c r="I33">
        <v>385.50777202072538</v>
      </c>
      <c r="J33">
        <v>387.49222797927462</v>
      </c>
      <c r="K33">
        <v>80.778768969680002</v>
      </c>
      <c r="L33">
        <v>78.510622899268157</v>
      </c>
      <c r="M33">
        <v>79.068477650901372</v>
      </c>
      <c r="N33">
        <v>201</v>
      </c>
      <c r="O33">
        <v>165</v>
      </c>
      <c r="P33">
        <v>250</v>
      </c>
      <c r="Q33">
        <v>582</v>
      </c>
      <c r="R33">
        <v>579</v>
      </c>
      <c r="S33">
        <v>584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122</v>
      </c>
      <c r="C34">
        <v>118</v>
      </c>
      <c r="D34">
        <v>121</v>
      </c>
      <c r="E34">
        <v>123</v>
      </c>
      <c r="F34">
        <v>119</v>
      </c>
      <c r="G34">
        <v>122</v>
      </c>
      <c r="H34">
        <v>416.27868852459022</v>
      </c>
      <c r="I34">
        <v>430.39830508474569</v>
      </c>
      <c r="J34">
        <v>419.70247933884298</v>
      </c>
      <c r="K34">
        <v>75.698538944062975</v>
      </c>
      <c r="L34">
        <v>83.733310859717363</v>
      </c>
      <c r="M34">
        <v>124.9512334625059</v>
      </c>
      <c r="N34">
        <v>198</v>
      </c>
      <c r="O34">
        <v>185</v>
      </c>
      <c r="P34">
        <v>152</v>
      </c>
      <c r="Q34">
        <v>607</v>
      </c>
      <c r="R34">
        <v>923</v>
      </c>
      <c r="S34">
        <v>984</v>
      </c>
      <c r="T34">
        <v>0</v>
      </c>
      <c r="U34">
        <v>0</v>
      </c>
      <c r="V34">
        <v>0</v>
      </c>
    </row>
    <row r="35" spans="1:22" x14ac:dyDescent="0.2">
      <c r="A35" s="1">
        <v>34</v>
      </c>
      <c r="B35">
        <v>227</v>
      </c>
      <c r="C35">
        <v>226</v>
      </c>
      <c r="D35">
        <v>226</v>
      </c>
      <c r="E35">
        <v>228</v>
      </c>
      <c r="F35">
        <v>227</v>
      </c>
      <c r="G35">
        <v>227</v>
      </c>
      <c r="H35">
        <v>330.15418502202641</v>
      </c>
      <c r="I35">
        <v>331.61061946902657</v>
      </c>
      <c r="J35">
        <v>331.60619469026551</v>
      </c>
      <c r="K35">
        <v>52.692865443922088</v>
      </c>
      <c r="L35">
        <v>51.228539550756693</v>
      </c>
      <c r="M35">
        <v>51.271649143554043</v>
      </c>
      <c r="N35">
        <v>212</v>
      </c>
      <c r="O35">
        <v>242</v>
      </c>
      <c r="P35">
        <v>243</v>
      </c>
      <c r="Q35">
        <v>470</v>
      </c>
      <c r="R35">
        <v>470</v>
      </c>
      <c r="S35">
        <v>470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95</v>
      </c>
      <c r="C36">
        <v>216</v>
      </c>
      <c r="D36">
        <v>215</v>
      </c>
      <c r="E36">
        <v>1</v>
      </c>
      <c r="F36">
        <v>217</v>
      </c>
      <c r="G36">
        <v>216</v>
      </c>
      <c r="H36">
        <v>316.54736842105262</v>
      </c>
      <c r="I36">
        <v>346.51851851851848</v>
      </c>
      <c r="J36">
        <v>348.18139534883721</v>
      </c>
      <c r="K36">
        <v>180.21504697969789</v>
      </c>
      <c r="L36">
        <v>38.339967968707477</v>
      </c>
      <c r="M36">
        <v>32.463633541499952</v>
      </c>
      <c r="N36">
        <v>212</v>
      </c>
      <c r="O36">
        <v>156</v>
      </c>
      <c r="P36">
        <v>189</v>
      </c>
      <c r="Q36">
        <v>1366</v>
      </c>
      <c r="R36">
        <v>440</v>
      </c>
      <c r="S36">
        <v>427</v>
      </c>
      <c r="T36">
        <v>1</v>
      </c>
      <c r="U36">
        <v>0</v>
      </c>
      <c r="V36">
        <v>0</v>
      </c>
    </row>
    <row r="37" spans="1:22" x14ac:dyDescent="0.2">
      <c r="A37" s="1">
        <v>36</v>
      </c>
      <c r="B37">
        <v>187</v>
      </c>
      <c r="C37">
        <v>172</v>
      </c>
      <c r="D37">
        <v>171</v>
      </c>
      <c r="E37">
        <v>188</v>
      </c>
      <c r="F37">
        <v>173</v>
      </c>
      <c r="G37">
        <v>172</v>
      </c>
      <c r="H37">
        <v>399.82887700534758</v>
      </c>
      <c r="I37">
        <v>434.69767441860472</v>
      </c>
      <c r="J37">
        <v>437.23976608187132</v>
      </c>
      <c r="K37">
        <v>116.5894950003259</v>
      </c>
      <c r="L37">
        <v>208.3391897993653</v>
      </c>
      <c r="M37">
        <v>244.19682478051621</v>
      </c>
      <c r="N37">
        <v>160</v>
      </c>
      <c r="O37">
        <v>189</v>
      </c>
      <c r="P37">
        <v>160</v>
      </c>
      <c r="Q37">
        <v>902</v>
      </c>
      <c r="R37">
        <v>2145</v>
      </c>
      <c r="S37">
        <v>1768</v>
      </c>
      <c r="T37">
        <v>0</v>
      </c>
      <c r="U37">
        <v>5</v>
      </c>
      <c r="V37">
        <v>9</v>
      </c>
    </row>
    <row r="38" spans="1:22" x14ac:dyDescent="0.2">
      <c r="A38" s="1">
        <v>37</v>
      </c>
      <c r="B38">
        <v>221</v>
      </c>
      <c r="C38">
        <v>219</v>
      </c>
      <c r="D38">
        <v>204</v>
      </c>
      <c r="E38">
        <v>222</v>
      </c>
      <c r="F38">
        <v>220</v>
      </c>
      <c r="G38">
        <v>205</v>
      </c>
      <c r="H38">
        <v>338.01357466063348</v>
      </c>
      <c r="I38">
        <v>341.02739726027397</v>
      </c>
      <c r="J38">
        <v>366.23529411764707</v>
      </c>
      <c r="K38">
        <v>384.75537068303078</v>
      </c>
      <c r="L38">
        <v>388.08502943509052</v>
      </c>
      <c r="M38">
        <v>422.7475967653146</v>
      </c>
      <c r="N38">
        <v>152</v>
      </c>
      <c r="O38">
        <v>183</v>
      </c>
      <c r="P38">
        <v>180</v>
      </c>
      <c r="Q38">
        <v>6006</v>
      </c>
      <c r="R38">
        <v>6024</v>
      </c>
      <c r="S38">
        <v>6050</v>
      </c>
      <c r="T38">
        <v>1</v>
      </c>
      <c r="U38">
        <v>1</v>
      </c>
      <c r="V38">
        <v>3</v>
      </c>
    </row>
    <row r="39" spans="1:22" x14ac:dyDescent="0.2">
      <c r="A39" s="1">
        <v>38</v>
      </c>
      <c r="B39">
        <v>162</v>
      </c>
      <c r="C39">
        <v>237</v>
      </c>
      <c r="D39">
        <v>237</v>
      </c>
      <c r="E39">
        <v>163</v>
      </c>
      <c r="F39">
        <v>238</v>
      </c>
      <c r="G39">
        <v>238</v>
      </c>
      <c r="H39">
        <v>460.07407407407408</v>
      </c>
      <c r="I39">
        <v>314.48101265822783</v>
      </c>
      <c r="J39">
        <v>314.48101265822783</v>
      </c>
      <c r="K39">
        <v>357.98295451206468</v>
      </c>
      <c r="L39">
        <v>26.266331848978961</v>
      </c>
      <c r="M39">
        <v>24.139001123521339</v>
      </c>
      <c r="N39">
        <v>192</v>
      </c>
      <c r="O39">
        <v>188</v>
      </c>
      <c r="P39">
        <v>189</v>
      </c>
      <c r="Q39">
        <v>3671</v>
      </c>
      <c r="R39">
        <v>414</v>
      </c>
      <c r="S39">
        <v>397</v>
      </c>
      <c r="T39">
        <v>6</v>
      </c>
      <c r="U39">
        <v>0</v>
      </c>
      <c r="V39">
        <v>0</v>
      </c>
    </row>
    <row r="40" spans="1:22" x14ac:dyDescent="0.2">
      <c r="A40" s="1">
        <v>39</v>
      </c>
      <c r="B40">
        <v>184</v>
      </c>
      <c r="C40">
        <v>176</v>
      </c>
      <c r="D40">
        <v>137</v>
      </c>
      <c r="E40">
        <v>185</v>
      </c>
      <c r="F40">
        <v>177</v>
      </c>
      <c r="G40">
        <v>138</v>
      </c>
      <c r="H40">
        <v>385.43478260869563</v>
      </c>
      <c r="I40">
        <v>399.98295454545462</v>
      </c>
      <c r="J40">
        <v>513.73722627737232</v>
      </c>
      <c r="K40">
        <v>86.447470306289787</v>
      </c>
      <c r="L40">
        <v>122.1429361471606</v>
      </c>
      <c r="M40">
        <v>403.9951089918153</v>
      </c>
      <c r="N40">
        <v>179</v>
      </c>
      <c r="O40">
        <v>152</v>
      </c>
      <c r="P40">
        <v>165</v>
      </c>
      <c r="Q40">
        <v>908</v>
      </c>
      <c r="R40">
        <v>1253</v>
      </c>
      <c r="S40">
        <v>2964</v>
      </c>
      <c r="T40">
        <v>0</v>
      </c>
      <c r="U40">
        <v>2</v>
      </c>
      <c r="V40">
        <v>10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170</v>
      </c>
      <c r="C43">
        <v>167</v>
      </c>
      <c r="D43">
        <v>167</v>
      </c>
      <c r="E43">
        <v>171</v>
      </c>
      <c r="F43">
        <v>168</v>
      </c>
      <c r="G43">
        <v>168</v>
      </c>
      <c r="H43">
        <v>437.77647058823533</v>
      </c>
      <c r="I43">
        <v>445.64071856287433</v>
      </c>
      <c r="J43">
        <v>445.64670658682633</v>
      </c>
      <c r="K43">
        <v>51.407842854920212</v>
      </c>
      <c r="L43">
        <v>24.561018570399249</v>
      </c>
      <c r="M43">
        <v>24.601664613165742</v>
      </c>
      <c r="N43">
        <v>165</v>
      </c>
      <c r="O43">
        <v>362</v>
      </c>
      <c r="P43">
        <v>363</v>
      </c>
      <c r="Q43">
        <v>573</v>
      </c>
      <c r="R43">
        <v>494</v>
      </c>
      <c r="S43">
        <v>495</v>
      </c>
      <c r="T43">
        <v>0</v>
      </c>
      <c r="U43">
        <v>0</v>
      </c>
      <c r="V43">
        <v>0</v>
      </c>
    </row>
    <row r="44" spans="1:22" x14ac:dyDescent="0.2">
      <c r="A44" s="1">
        <v>43</v>
      </c>
      <c r="B44">
        <v>233</v>
      </c>
      <c r="C44">
        <v>235</v>
      </c>
      <c r="D44">
        <v>235</v>
      </c>
      <c r="E44">
        <v>234</v>
      </c>
      <c r="F44">
        <v>236</v>
      </c>
      <c r="G44">
        <v>236</v>
      </c>
      <c r="H44">
        <v>321.3090128755365</v>
      </c>
      <c r="I44">
        <v>318.58297872340432</v>
      </c>
      <c r="J44">
        <v>318.57446808510639</v>
      </c>
      <c r="K44">
        <v>38.191653215257503</v>
      </c>
      <c r="L44">
        <v>20.921417063478032</v>
      </c>
      <c r="M44">
        <v>24.923596653008179</v>
      </c>
      <c r="N44">
        <v>204</v>
      </c>
      <c r="O44">
        <v>271</v>
      </c>
      <c r="P44">
        <v>200</v>
      </c>
      <c r="Q44">
        <v>640</v>
      </c>
      <c r="R44">
        <v>395</v>
      </c>
      <c r="S44">
        <v>407</v>
      </c>
      <c r="T44">
        <v>0</v>
      </c>
      <c r="U44">
        <v>0</v>
      </c>
      <c r="V44">
        <v>0</v>
      </c>
    </row>
    <row r="45" spans="1:22" x14ac:dyDescent="0.2">
      <c r="A45" s="1">
        <v>44</v>
      </c>
      <c r="B45">
        <v>152</v>
      </c>
      <c r="C45">
        <v>170</v>
      </c>
      <c r="D45">
        <v>167</v>
      </c>
      <c r="E45">
        <v>153</v>
      </c>
      <c r="F45">
        <v>171</v>
      </c>
      <c r="G45">
        <v>168</v>
      </c>
      <c r="H45">
        <v>490.375</v>
      </c>
      <c r="I45">
        <v>433.51764705882351</v>
      </c>
      <c r="J45">
        <v>441.32934131736528</v>
      </c>
      <c r="K45">
        <v>335.37907410029447</v>
      </c>
      <c r="L45">
        <v>301.8067139514078</v>
      </c>
      <c r="M45">
        <v>301.80444165282051</v>
      </c>
      <c r="N45">
        <v>164</v>
      </c>
      <c r="O45">
        <v>157</v>
      </c>
      <c r="P45">
        <v>152</v>
      </c>
      <c r="Q45">
        <v>2412</v>
      </c>
      <c r="R45">
        <v>2200</v>
      </c>
      <c r="S45">
        <v>1802</v>
      </c>
      <c r="T45">
        <v>13</v>
      </c>
      <c r="U45">
        <v>11</v>
      </c>
      <c r="V45">
        <v>12</v>
      </c>
    </row>
    <row r="46" spans="1:22" x14ac:dyDescent="0.2">
      <c r="A46" s="1">
        <v>45</v>
      </c>
      <c r="B46">
        <v>138</v>
      </c>
      <c r="C46">
        <v>78</v>
      </c>
      <c r="D46">
        <v>142</v>
      </c>
      <c r="E46">
        <v>139</v>
      </c>
      <c r="F46">
        <v>79</v>
      </c>
      <c r="G46">
        <v>143</v>
      </c>
      <c r="H46">
        <v>542.463768115942</v>
      </c>
      <c r="I46">
        <v>961.03846153846155</v>
      </c>
      <c r="J46">
        <v>527.72535211267609</v>
      </c>
      <c r="K46">
        <v>611.97545582456416</v>
      </c>
      <c r="L46">
        <v>1153.2147550342791</v>
      </c>
      <c r="M46">
        <v>412.50165947426689</v>
      </c>
      <c r="N46">
        <v>152</v>
      </c>
      <c r="O46">
        <v>186</v>
      </c>
      <c r="P46">
        <v>172</v>
      </c>
      <c r="Q46">
        <v>4905</v>
      </c>
      <c r="R46">
        <v>6736</v>
      </c>
      <c r="S46">
        <v>2755</v>
      </c>
      <c r="T46">
        <v>12</v>
      </c>
      <c r="U46">
        <v>25</v>
      </c>
      <c r="V46">
        <v>16</v>
      </c>
    </row>
    <row r="47" spans="1:22" x14ac:dyDescent="0.2">
      <c r="A47" s="1">
        <v>46</v>
      </c>
      <c r="B47">
        <v>204</v>
      </c>
      <c r="C47">
        <v>204</v>
      </c>
      <c r="D47">
        <v>204</v>
      </c>
      <c r="E47">
        <v>205</v>
      </c>
      <c r="F47">
        <v>205</v>
      </c>
      <c r="G47">
        <v>205</v>
      </c>
      <c r="H47">
        <v>365.93627450980392</v>
      </c>
      <c r="I47">
        <v>365.93627450980392</v>
      </c>
      <c r="J47">
        <v>365.93627450980392</v>
      </c>
      <c r="K47">
        <v>29.73314578826373</v>
      </c>
      <c r="L47">
        <v>28.81503537885845</v>
      </c>
      <c r="M47">
        <v>33.616510983189407</v>
      </c>
      <c r="N47">
        <v>286</v>
      </c>
      <c r="O47">
        <v>315</v>
      </c>
      <c r="P47">
        <v>277</v>
      </c>
      <c r="Q47">
        <v>456</v>
      </c>
      <c r="R47">
        <v>456</v>
      </c>
      <c r="S47">
        <v>557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260</v>
      </c>
      <c r="C48">
        <v>269</v>
      </c>
      <c r="D48">
        <v>239</v>
      </c>
      <c r="E48">
        <v>261</v>
      </c>
      <c r="F48">
        <v>270</v>
      </c>
      <c r="G48">
        <v>240</v>
      </c>
      <c r="H48">
        <v>286.81923076923078</v>
      </c>
      <c r="I48">
        <v>277.27137546468401</v>
      </c>
      <c r="J48">
        <v>312.03347280334731</v>
      </c>
      <c r="K48">
        <v>128.71780069447351</v>
      </c>
      <c r="L48">
        <v>129.76199782896271</v>
      </c>
      <c r="M48">
        <v>167.96342804485161</v>
      </c>
      <c r="N48">
        <v>175</v>
      </c>
      <c r="O48">
        <v>160</v>
      </c>
      <c r="P48">
        <v>158</v>
      </c>
      <c r="Q48">
        <v>1370</v>
      </c>
      <c r="R48">
        <v>1435</v>
      </c>
      <c r="S48">
        <v>1435</v>
      </c>
      <c r="T48">
        <v>2</v>
      </c>
      <c r="U48">
        <v>3</v>
      </c>
      <c r="V48">
        <v>4</v>
      </c>
    </row>
    <row r="49" spans="1:22" x14ac:dyDescent="0.2">
      <c r="A49" s="1">
        <v>48</v>
      </c>
      <c r="B49">
        <v>227</v>
      </c>
      <c r="C49">
        <v>216</v>
      </c>
      <c r="D49">
        <v>198</v>
      </c>
      <c r="E49">
        <v>228</v>
      </c>
      <c r="F49">
        <v>217</v>
      </c>
      <c r="G49">
        <v>199</v>
      </c>
      <c r="H49">
        <v>328.96916299559467</v>
      </c>
      <c r="I49">
        <v>345.74074074074082</v>
      </c>
      <c r="J49">
        <v>377.32828282828291</v>
      </c>
      <c r="K49">
        <v>59.702165809907328</v>
      </c>
      <c r="L49">
        <v>89.401979102007175</v>
      </c>
      <c r="M49">
        <v>185.78159304078639</v>
      </c>
      <c r="N49">
        <v>157</v>
      </c>
      <c r="O49">
        <v>160</v>
      </c>
      <c r="P49">
        <v>156</v>
      </c>
      <c r="Q49">
        <v>978</v>
      </c>
      <c r="R49">
        <v>1060</v>
      </c>
      <c r="S49">
        <v>1599</v>
      </c>
      <c r="T49">
        <v>0</v>
      </c>
      <c r="U49">
        <v>1</v>
      </c>
      <c r="V49">
        <v>5</v>
      </c>
    </row>
    <row r="50" spans="1:22" x14ac:dyDescent="0.2">
      <c r="A50" s="1">
        <v>49</v>
      </c>
      <c r="B50">
        <v>24</v>
      </c>
      <c r="C50">
        <v>23</v>
      </c>
      <c r="D50">
        <v>35</v>
      </c>
      <c r="E50">
        <v>25</v>
      </c>
      <c r="F50">
        <v>24</v>
      </c>
      <c r="G50">
        <v>36</v>
      </c>
      <c r="H50">
        <v>2955.375</v>
      </c>
      <c r="I50">
        <v>2897.782608695652</v>
      </c>
      <c r="J50">
        <v>1976.6</v>
      </c>
      <c r="K50">
        <v>8375.1731860743712</v>
      </c>
      <c r="L50">
        <v>5603.6425812024818</v>
      </c>
      <c r="M50">
        <v>3842.7770763893559</v>
      </c>
      <c r="N50">
        <v>288</v>
      </c>
      <c r="O50">
        <v>207</v>
      </c>
      <c r="P50">
        <v>170</v>
      </c>
      <c r="Q50">
        <v>40172</v>
      </c>
      <c r="R50">
        <v>18315</v>
      </c>
      <c r="S50">
        <v>17188</v>
      </c>
      <c r="T50">
        <v>6</v>
      </c>
      <c r="U50">
        <v>8</v>
      </c>
      <c r="V50">
        <v>10</v>
      </c>
    </row>
    <row r="51" spans="1:22" x14ac:dyDescent="0.2">
      <c r="A51" s="1">
        <v>50</v>
      </c>
      <c r="B51">
        <v>137</v>
      </c>
      <c r="C51">
        <v>61</v>
      </c>
      <c r="D51">
        <v>118</v>
      </c>
      <c r="E51">
        <v>138</v>
      </c>
      <c r="F51">
        <v>62</v>
      </c>
      <c r="G51">
        <v>119</v>
      </c>
      <c r="H51">
        <v>537.56934306569337</v>
      </c>
      <c r="I51">
        <v>1206.950819672131</v>
      </c>
      <c r="J51">
        <v>624.27118644067798</v>
      </c>
      <c r="K51">
        <v>548.39330555966262</v>
      </c>
      <c r="L51">
        <v>1033.0971465489829</v>
      </c>
      <c r="M51">
        <v>533.25510100928852</v>
      </c>
      <c r="N51">
        <v>160</v>
      </c>
      <c r="O51">
        <v>199</v>
      </c>
      <c r="P51">
        <v>153</v>
      </c>
      <c r="Q51">
        <v>5582</v>
      </c>
      <c r="R51">
        <v>4606</v>
      </c>
      <c r="S51">
        <v>3675</v>
      </c>
      <c r="T51">
        <v>10</v>
      </c>
      <c r="U51">
        <v>30</v>
      </c>
      <c r="V51">
        <v>20</v>
      </c>
    </row>
    <row r="52" spans="1:22" x14ac:dyDescent="0.2">
      <c r="A52" s="1">
        <v>51</v>
      </c>
      <c r="B52">
        <v>13</v>
      </c>
      <c r="C52">
        <v>58</v>
      </c>
      <c r="D52">
        <v>180</v>
      </c>
      <c r="E52">
        <v>14</v>
      </c>
      <c r="F52">
        <v>59</v>
      </c>
      <c r="G52">
        <v>181</v>
      </c>
      <c r="H52">
        <v>4914.8461538461543</v>
      </c>
      <c r="I52">
        <v>1114.344827586207</v>
      </c>
      <c r="J52">
        <v>411.21111111111111</v>
      </c>
      <c r="K52">
        <v>2682.5882665240129</v>
      </c>
      <c r="L52">
        <v>1341.115947362875</v>
      </c>
      <c r="M52">
        <v>161.317792085843</v>
      </c>
      <c r="N52">
        <v>330</v>
      </c>
      <c r="O52">
        <v>206</v>
      </c>
      <c r="P52">
        <v>176</v>
      </c>
      <c r="Q52">
        <v>9538</v>
      </c>
      <c r="R52">
        <v>5791</v>
      </c>
      <c r="S52">
        <v>1244</v>
      </c>
      <c r="T52">
        <v>12</v>
      </c>
      <c r="U52">
        <v>16</v>
      </c>
      <c r="V52">
        <v>5</v>
      </c>
    </row>
    <row r="53" spans="1:22" x14ac:dyDescent="0.2">
      <c r="A53" s="1">
        <v>52</v>
      </c>
      <c r="B53">
        <v>92</v>
      </c>
      <c r="C53">
        <v>91</v>
      </c>
      <c r="D53">
        <v>91</v>
      </c>
      <c r="E53">
        <v>93</v>
      </c>
      <c r="F53">
        <v>92</v>
      </c>
      <c r="G53">
        <v>92</v>
      </c>
      <c r="H53">
        <v>364.77173913043481</v>
      </c>
      <c r="I53">
        <v>368.76923076923077</v>
      </c>
      <c r="J53">
        <v>368.7802197802198</v>
      </c>
      <c r="K53">
        <v>29.083473370899409</v>
      </c>
      <c r="L53">
        <v>47.140470210042793</v>
      </c>
      <c r="M53">
        <v>53.910378757053238</v>
      </c>
      <c r="N53">
        <v>293</v>
      </c>
      <c r="O53">
        <v>292</v>
      </c>
      <c r="P53">
        <v>151</v>
      </c>
      <c r="Q53">
        <v>437</v>
      </c>
      <c r="R53">
        <v>722</v>
      </c>
      <c r="S53">
        <v>724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189</v>
      </c>
      <c r="C54">
        <v>189</v>
      </c>
      <c r="D54">
        <v>189</v>
      </c>
      <c r="E54">
        <v>190</v>
      </c>
      <c r="F54">
        <v>190</v>
      </c>
      <c r="G54">
        <v>190</v>
      </c>
      <c r="H54">
        <v>394.49735449735448</v>
      </c>
      <c r="I54">
        <v>394.49206349206349</v>
      </c>
      <c r="J54">
        <v>394.50793650793651</v>
      </c>
      <c r="K54">
        <v>24.498072946059889</v>
      </c>
      <c r="L54">
        <v>23.172943468994699</v>
      </c>
      <c r="M54">
        <v>23.122619267357699</v>
      </c>
      <c r="N54">
        <v>331</v>
      </c>
      <c r="O54">
        <v>332</v>
      </c>
      <c r="P54">
        <v>332</v>
      </c>
      <c r="Q54">
        <v>487</v>
      </c>
      <c r="R54">
        <v>440</v>
      </c>
      <c r="S54">
        <v>440</v>
      </c>
      <c r="T54">
        <v>0</v>
      </c>
      <c r="U54">
        <v>0</v>
      </c>
      <c r="V54">
        <v>0</v>
      </c>
    </row>
    <row r="55" spans="1:22" x14ac:dyDescent="0.2">
      <c r="A55" s="1">
        <v>54</v>
      </c>
      <c r="B55">
        <v>193</v>
      </c>
      <c r="C55">
        <v>193</v>
      </c>
      <c r="D55">
        <v>195</v>
      </c>
      <c r="E55">
        <v>194</v>
      </c>
      <c r="F55">
        <v>194</v>
      </c>
      <c r="G55">
        <v>196</v>
      </c>
      <c r="H55">
        <v>387.29533678756479</v>
      </c>
      <c r="I55">
        <v>387.28497409326422</v>
      </c>
      <c r="J55">
        <v>383.32307692307688</v>
      </c>
      <c r="K55">
        <v>30.626969817866819</v>
      </c>
      <c r="L55">
        <v>30.03273616899067</v>
      </c>
      <c r="M55">
        <v>42.07349032849411</v>
      </c>
      <c r="N55">
        <v>304</v>
      </c>
      <c r="O55">
        <v>312</v>
      </c>
      <c r="P55">
        <v>167</v>
      </c>
      <c r="Q55">
        <v>480</v>
      </c>
      <c r="R55">
        <v>477</v>
      </c>
      <c r="S55">
        <v>480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206</v>
      </c>
      <c r="C56">
        <v>10</v>
      </c>
      <c r="D56">
        <v>205</v>
      </c>
      <c r="E56">
        <v>207</v>
      </c>
      <c r="F56">
        <v>11</v>
      </c>
      <c r="G56">
        <v>206</v>
      </c>
      <c r="H56">
        <v>362.91747572815541</v>
      </c>
      <c r="I56">
        <v>5526.4</v>
      </c>
      <c r="J56">
        <v>364.6829268292683</v>
      </c>
      <c r="K56">
        <v>25.339027748820701</v>
      </c>
      <c r="L56">
        <v>10766.02022001528</v>
      </c>
      <c r="M56">
        <v>29.50393711214096</v>
      </c>
      <c r="N56">
        <v>244</v>
      </c>
      <c r="O56">
        <v>425</v>
      </c>
      <c r="P56">
        <v>317</v>
      </c>
      <c r="Q56">
        <v>447</v>
      </c>
      <c r="R56">
        <v>35865</v>
      </c>
      <c r="S56">
        <v>669</v>
      </c>
      <c r="T56">
        <v>0</v>
      </c>
      <c r="U56">
        <v>8</v>
      </c>
      <c r="V56">
        <v>0</v>
      </c>
    </row>
    <row r="57" spans="1:22" x14ac:dyDescent="0.2">
      <c r="A57" s="1">
        <v>56</v>
      </c>
      <c r="B57">
        <v>209</v>
      </c>
      <c r="C57">
        <v>203</v>
      </c>
      <c r="D57">
        <v>207</v>
      </c>
      <c r="E57">
        <v>210</v>
      </c>
      <c r="F57">
        <v>204</v>
      </c>
      <c r="G57">
        <v>208</v>
      </c>
      <c r="H57">
        <v>357.02870813397129</v>
      </c>
      <c r="I57">
        <v>367.57635467980288</v>
      </c>
      <c r="J57">
        <v>360.47826086956519</v>
      </c>
      <c r="K57">
        <v>49.105157362267548</v>
      </c>
      <c r="L57">
        <v>114.80089450315739</v>
      </c>
      <c r="M57">
        <v>85.789923259570941</v>
      </c>
      <c r="N57">
        <v>315</v>
      </c>
      <c r="O57">
        <v>184</v>
      </c>
      <c r="P57">
        <v>185</v>
      </c>
      <c r="Q57">
        <v>1022</v>
      </c>
      <c r="R57">
        <v>1701</v>
      </c>
      <c r="S57">
        <v>1377</v>
      </c>
      <c r="T57">
        <v>1</v>
      </c>
      <c r="U57">
        <v>1</v>
      </c>
      <c r="V57">
        <v>1</v>
      </c>
    </row>
    <row r="58" spans="1:22" x14ac:dyDescent="0.2">
      <c r="A58" s="1">
        <v>57</v>
      </c>
      <c r="B58">
        <v>1</v>
      </c>
      <c r="C58">
        <v>127</v>
      </c>
      <c r="D58">
        <v>113</v>
      </c>
      <c r="E58">
        <v>2</v>
      </c>
      <c r="F58">
        <v>128</v>
      </c>
      <c r="G58">
        <v>114</v>
      </c>
      <c r="H58">
        <v>23794</v>
      </c>
      <c r="I58">
        <v>542.79527559055123</v>
      </c>
      <c r="J58">
        <v>607.26548672566366</v>
      </c>
      <c r="L58">
        <v>617.73769717994821</v>
      </c>
      <c r="M58">
        <v>610.7547294960309</v>
      </c>
      <c r="N58">
        <v>23794</v>
      </c>
      <c r="O58">
        <v>158</v>
      </c>
      <c r="P58">
        <v>171</v>
      </c>
      <c r="Q58">
        <v>23794</v>
      </c>
      <c r="R58">
        <v>4965</v>
      </c>
      <c r="S58">
        <v>3427</v>
      </c>
      <c r="T58">
        <v>1</v>
      </c>
      <c r="U58">
        <v>11</v>
      </c>
      <c r="V58">
        <v>16</v>
      </c>
    </row>
    <row r="59" spans="1:22" x14ac:dyDescent="0.2">
      <c r="A59" s="1">
        <v>58</v>
      </c>
      <c r="B59">
        <v>95</v>
      </c>
      <c r="C59">
        <v>95</v>
      </c>
      <c r="D59">
        <v>87</v>
      </c>
      <c r="E59">
        <v>96</v>
      </c>
      <c r="F59">
        <v>96</v>
      </c>
      <c r="G59">
        <v>88</v>
      </c>
      <c r="H59">
        <v>332.70526315789482</v>
      </c>
      <c r="I59">
        <v>332.72631578947369</v>
      </c>
      <c r="J59">
        <v>363.34482758620692</v>
      </c>
      <c r="K59">
        <v>35.978679763665511</v>
      </c>
      <c r="L59">
        <v>43.71485022162625</v>
      </c>
      <c r="M59">
        <v>101.3420213569005</v>
      </c>
      <c r="N59">
        <v>264</v>
      </c>
      <c r="O59">
        <v>155</v>
      </c>
      <c r="P59">
        <v>183</v>
      </c>
      <c r="Q59">
        <v>440</v>
      </c>
      <c r="R59">
        <v>442</v>
      </c>
      <c r="S59">
        <v>887</v>
      </c>
      <c r="T59">
        <v>0</v>
      </c>
      <c r="U59">
        <v>0</v>
      </c>
      <c r="V59">
        <v>0</v>
      </c>
    </row>
    <row r="60" spans="1:22" x14ac:dyDescent="0.2">
      <c r="A60" s="1">
        <v>59</v>
      </c>
      <c r="B60">
        <v>219</v>
      </c>
      <c r="C60">
        <v>214</v>
      </c>
      <c r="D60">
        <v>216</v>
      </c>
      <c r="E60">
        <v>220</v>
      </c>
      <c r="F60">
        <v>215</v>
      </c>
      <c r="G60">
        <v>217</v>
      </c>
      <c r="H60">
        <v>341.04109589041099</v>
      </c>
      <c r="I60">
        <v>349.00467289719631</v>
      </c>
      <c r="J60">
        <v>345.77777777777783</v>
      </c>
      <c r="K60">
        <v>63.151072329836133</v>
      </c>
      <c r="L60">
        <v>67.452608831352194</v>
      </c>
      <c r="M60">
        <v>79.211384351321072</v>
      </c>
      <c r="N60">
        <v>173</v>
      </c>
      <c r="O60">
        <v>203</v>
      </c>
      <c r="P60">
        <v>221</v>
      </c>
      <c r="Q60">
        <v>864</v>
      </c>
      <c r="R60">
        <v>743</v>
      </c>
      <c r="S60">
        <v>1288</v>
      </c>
      <c r="T60">
        <v>0</v>
      </c>
      <c r="U60">
        <v>0</v>
      </c>
      <c r="V60">
        <v>1</v>
      </c>
    </row>
    <row r="61" spans="1:22" x14ac:dyDescent="0.2">
      <c r="A61" s="1">
        <v>60</v>
      </c>
      <c r="B61">
        <v>138</v>
      </c>
      <c r="C61">
        <v>94</v>
      </c>
      <c r="D61">
        <v>104</v>
      </c>
      <c r="E61">
        <v>139</v>
      </c>
      <c r="F61">
        <v>95</v>
      </c>
      <c r="G61">
        <v>105</v>
      </c>
      <c r="H61">
        <v>539.16666666666663</v>
      </c>
      <c r="I61">
        <v>772.22340425531911</v>
      </c>
      <c r="J61">
        <v>715.43269230769226</v>
      </c>
      <c r="K61">
        <v>379.62829656429909</v>
      </c>
      <c r="L61">
        <v>699.8779179910681</v>
      </c>
      <c r="M61">
        <v>544.61226546740147</v>
      </c>
      <c r="N61">
        <v>175</v>
      </c>
      <c r="O61">
        <v>151</v>
      </c>
      <c r="P61">
        <v>176</v>
      </c>
      <c r="Q61">
        <v>2030</v>
      </c>
      <c r="R61">
        <v>4599</v>
      </c>
      <c r="S61">
        <v>2496</v>
      </c>
      <c r="T61">
        <v>16</v>
      </c>
      <c r="U61">
        <v>21</v>
      </c>
      <c r="V61">
        <v>22</v>
      </c>
    </row>
    <row r="62" spans="1:22" x14ac:dyDescent="0.2">
      <c r="A62" s="1">
        <v>61</v>
      </c>
      <c r="B62">
        <v>195</v>
      </c>
      <c r="C62">
        <v>191</v>
      </c>
      <c r="D62">
        <v>183</v>
      </c>
      <c r="E62">
        <v>196</v>
      </c>
      <c r="F62">
        <v>192</v>
      </c>
      <c r="G62">
        <v>184</v>
      </c>
      <c r="H62">
        <v>351.34358974358969</v>
      </c>
      <c r="I62">
        <v>358.68586387434561</v>
      </c>
      <c r="J62">
        <v>373.85792349726768</v>
      </c>
      <c r="K62">
        <v>57.565918266020937</v>
      </c>
      <c r="L62">
        <v>71.004860909675941</v>
      </c>
      <c r="M62">
        <v>116.73460804039971</v>
      </c>
      <c r="N62">
        <v>241</v>
      </c>
      <c r="O62">
        <v>171</v>
      </c>
      <c r="P62">
        <v>196</v>
      </c>
      <c r="Q62">
        <v>823</v>
      </c>
      <c r="R62">
        <v>990</v>
      </c>
      <c r="S62">
        <v>992</v>
      </c>
      <c r="T62">
        <v>0</v>
      </c>
      <c r="U62">
        <v>0</v>
      </c>
      <c r="V62">
        <v>0</v>
      </c>
    </row>
    <row r="63" spans="1:22" x14ac:dyDescent="0.2">
      <c r="A63" s="1">
        <v>62</v>
      </c>
      <c r="B63">
        <v>239</v>
      </c>
      <c r="C63">
        <v>239</v>
      </c>
      <c r="D63">
        <v>239</v>
      </c>
      <c r="E63">
        <v>240</v>
      </c>
      <c r="F63">
        <v>240</v>
      </c>
      <c r="G63">
        <v>240</v>
      </c>
      <c r="H63">
        <v>311.78242677824272</v>
      </c>
      <c r="I63">
        <v>311.76987447698752</v>
      </c>
      <c r="J63">
        <v>311.77405857740592</v>
      </c>
      <c r="K63">
        <v>28.746259251888041</v>
      </c>
      <c r="L63">
        <v>22.657881472929471</v>
      </c>
      <c r="M63">
        <v>22.74519056774291</v>
      </c>
      <c r="N63">
        <v>250</v>
      </c>
      <c r="O63">
        <v>272</v>
      </c>
      <c r="P63">
        <v>270</v>
      </c>
      <c r="Q63">
        <v>406</v>
      </c>
      <c r="R63">
        <v>381</v>
      </c>
      <c r="S63">
        <v>381</v>
      </c>
      <c r="T63">
        <v>0</v>
      </c>
      <c r="U63">
        <v>0</v>
      </c>
      <c r="V63">
        <v>0</v>
      </c>
    </row>
    <row r="64" spans="1:22" x14ac:dyDescent="0.2">
      <c r="A64" s="1">
        <v>63</v>
      </c>
      <c r="B64">
        <v>166</v>
      </c>
      <c r="C64">
        <v>163</v>
      </c>
      <c r="D64">
        <v>158</v>
      </c>
      <c r="E64">
        <v>167</v>
      </c>
      <c r="F64">
        <v>164</v>
      </c>
      <c r="G64">
        <v>159</v>
      </c>
      <c r="H64">
        <v>406.81927710843371</v>
      </c>
      <c r="I64">
        <v>414.31288343558282</v>
      </c>
      <c r="J64">
        <v>427.42405063291142</v>
      </c>
      <c r="K64">
        <v>108.3900526106008</v>
      </c>
      <c r="L64">
        <v>152.90909594630389</v>
      </c>
      <c r="M64">
        <v>177.2515321793326</v>
      </c>
      <c r="N64">
        <v>218</v>
      </c>
      <c r="O64">
        <v>154</v>
      </c>
      <c r="P64">
        <v>154</v>
      </c>
      <c r="Q64">
        <v>1341</v>
      </c>
      <c r="R64">
        <v>1340</v>
      </c>
      <c r="S64">
        <v>1783</v>
      </c>
      <c r="T64">
        <v>1</v>
      </c>
      <c r="U64">
        <v>3</v>
      </c>
      <c r="V64">
        <v>3</v>
      </c>
    </row>
    <row r="65" spans="1:22" x14ac:dyDescent="0.2">
      <c r="A65" s="1">
        <v>64</v>
      </c>
      <c r="B65">
        <v>118</v>
      </c>
      <c r="C65">
        <v>200</v>
      </c>
      <c r="D65">
        <v>201</v>
      </c>
      <c r="E65">
        <v>119</v>
      </c>
      <c r="F65">
        <v>201</v>
      </c>
      <c r="G65">
        <v>202</v>
      </c>
      <c r="H65">
        <v>603.85593220338978</v>
      </c>
      <c r="I65">
        <v>373.4</v>
      </c>
      <c r="J65">
        <v>371.54726368159203</v>
      </c>
      <c r="K65">
        <v>1164.3322085588741</v>
      </c>
      <c r="L65">
        <v>54.326761222482453</v>
      </c>
      <c r="M65">
        <v>56.879776766220907</v>
      </c>
      <c r="N65">
        <v>171</v>
      </c>
      <c r="O65">
        <v>174</v>
      </c>
      <c r="P65">
        <v>153</v>
      </c>
      <c r="Q65">
        <v>7400</v>
      </c>
      <c r="R65">
        <v>761</v>
      </c>
      <c r="S65">
        <v>789</v>
      </c>
      <c r="T65">
        <v>6</v>
      </c>
      <c r="U65">
        <v>0</v>
      </c>
      <c r="V65">
        <v>0</v>
      </c>
    </row>
    <row r="66" spans="1:22" x14ac:dyDescent="0.2">
      <c r="A66" s="1">
        <v>65</v>
      </c>
      <c r="B66">
        <v>229</v>
      </c>
      <c r="C66">
        <v>216</v>
      </c>
      <c r="D66">
        <v>227</v>
      </c>
      <c r="E66">
        <v>230</v>
      </c>
      <c r="F66">
        <v>217</v>
      </c>
      <c r="G66">
        <v>228</v>
      </c>
      <c r="H66">
        <v>325.15720524017468</v>
      </c>
      <c r="I66">
        <v>346</v>
      </c>
      <c r="J66">
        <v>329.22026431718058</v>
      </c>
      <c r="K66">
        <v>138.79842035812021</v>
      </c>
      <c r="L66">
        <v>208.31891919128049</v>
      </c>
      <c r="M66">
        <v>152.84608179565419</v>
      </c>
      <c r="N66">
        <v>191</v>
      </c>
      <c r="O66">
        <v>164</v>
      </c>
      <c r="P66">
        <v>160</v>
      </c>
      <c r="Q66">
        <v>2236</v>
      </c>
      <c r="R66">
        <v>2587</v>
      </c>
      <c r="S66">
        <v>2235</v>
      </c>
      <c r="T66">
        <v>1</v>
      </c>
      <c r="U66">
        <v>3</v>
      </c>
      <c r="V66">
        <v>2</v>
      </c>
    </row>
    <row r="67" spans="1:22" x14ac:dyDescent="0.2">
      <c r="A67" s="1">
        <v>66</v>
      </c>
      <c r="B67">
        <v>199</v>
      </c>
      <c r="C67">
        <v>192</v>
      </c>
      <c r="D67">
        <v>196</v>
      </c>
      <c r="E67">
        <v>200</v>
      </c>
      <c r="F67">
        <v>193</v>
      </c>
      <c r="G67">
        <v>197</v>
      </c>
      <c r="H67">
        <v>374.4070351758794</v>
      </c>
      <c r="I67">
        <v>388.06770833333331</v>
      </c>
      <c r="J67">
        <v>380.14285714285722</v>
      </c>
      <c r="K67">
        <v>43.432638552941647</v>
      </c>
      <c r="L67">
        <v>133.72684748071029</v>
      </c>
      <c r="M67">
        <v>75.876282568469676</v>
      </c>
      <c r="N67">
        <v>288</v>
      </c>
      <c r="O67">
        <v>276</v>
      </c>
      <c r="P67">
        <v>263</v>
      </c>
      <c r="Q67">
        <v>728</v>
      </c>
      <c r="R67">
        <v>2063</v>
      </c>
      <c r="S67">
        <v>1160</v>
      </c>
      <c r="T67">
        <v>0</v>
      </c>
      <c r="U67">
        <v>1</v>
      </c>
      <c r="V67">
        <v>1</v>
      </c>
    </row>
    <row r="68" spans="1:22" x14ac:dyDescent="0.2">
      <c r="A68" s="1">
        <v>67</v>
      </c>
    </row>
    <row r="69" spans="1:22" x14ac:dyDescent="0.2">
      <c r="A69" s="1">
        <v>68</v>
      </c>
      <c r="B69">
        <v>37</v>
      </c>
      <c r="C69">
        <v>161</v>
      </c>
      <c r="D69">
        <v>136</v>
      </c>
      <c r="E69">
        <v>38</v>
      </c>
      <c r="F69">
        <v>162</v>
      </c>
      <c r="G69">
        <v>137</v>
      </c>
      <c r="H69">
        <v>1589.864864864865</v>
      </c>
      <c r="I69">
        <v>378.16770186335401</v>
      </c>
      <c r="J69">
        <v>445.56617647058818</v>
      </c>
      <c r="K69">
        <v>1828.146376982892</v>
      </c>
      <c r="L69">
        <v>145.99868304306909</v>
      </c>
      <c r="M69">
        <v>311.43918500825441</v>
      </c>
      <c r="N69">
        <v>160</v>
      </c>
      <c r="O69">
        <v>183</v>
      </c>
      <c r="P69">
        <v>240</v>
      </c>
      <c r="Q69">
        <v>9720</v>
      </c>
      <c r="R69">
        <v>1060</v>
      </c>
      <c r="S69">
        <v>2507</v>
      </c>
      <c r="T69">
        <v>19</v>
      </c>
      <c r="U69">
        <v>1</v>
      </c>
      <c r="V69">
        <v>8</v>
      </c>
    </row>
    <row r="70" spans="1:22" x14ac:dyDescent="0.2">
      <c r="A70" s="1">
        <v>69</v>
      </c>
      <c r="B70">
        <v>204</v>
      </c>
      <c r="C70">
        <v>215</v>
      </c>
      <c r="D70">
        <v>216</v>
      </c>
      <c r="E70">
        <v>205</v>
      </c>
      <c r="F70">
        <v>216</v>
      </c>
      <c r="G70">
        <v>217</v>
      </c>
      <c r="H70">
        <v>367.5735294117647</v>
      </c>
      <c r="I70">
        <v>348.76744186046511</v>
      </c>
      <c r="J70">
        <v>347.15277777777783</v>
      </c>
      <c r="K70">
        <v>112.7186631833718</v>
      </c>
      <c r="L70">
        <v>29.05701550344423</v>
      </c>
      <c r="M70">
        <v>31.250522476252449</v>
      </c>
      <c r="N70">
        <v>168</v>
      </c>
      <c r="O70">
        <v>200</v>
      </c>
      <c r="P70">
        <v>203</v>
      </c>
      <c r="Q70">
        <v>1140</v>
      </c>
      <c r="R70">
        <v>477</v>
      </c>
      <c r="S70">
        <v>466</v>
      </c>
      <c r="T70">
        <v>2</v>
      </c>
      <c r="U70">
        <v>0</v>
      </c>
      <c r="V70">
        <v>0</v>
      </c>
    </row>
    <row r="71" spans="1:22" x14ac:dyDescent="0.2">
      <c r="A71" s="1">
        <v>70</v>
      </c>
      <c r="B71">
        <v>236</v>
      </c>
      <c r="C71">
        <v>236</v>
      </c>
      <c r="D71">
        <v>197</v>
      </c>
      <c r="E71">
        <v>237</v>
      </c>
      <c r="F71">
        <v>237</v>
      </c>
      <c r="G71">
        <v>198</v>
      </c>
      <c r="H71">
        <v>315.48728813559319</v>
      </c>
      <c r="I71">
        <v>315.43220338983048</v>
      </c>
      <c r="J71">
        <v>377.91878172588832</v>
      </c>
      <c r="K71">
        <v>46.550039964532829</v>
      </c>
      <c r="L71">
        <v>36.621346829889433</v>
      </c>
      <c r="M71">
        <v>194.76891986517509</v>
      </c>
      <c r="N71">
        <v>253</v>
      </c>
      <c r="O71">
        <v>275</v>
      </c>
      <c r="P71">
        <v>236</v>
      </c>
      <c r="Q71">
        <v>929</v>
      </c>
      <c r="R71">
        <v>661</v>
      </c>
      <c r="S71">
        <v>1640</v>
      </c>
      <c r="T71">
        <v>0</v>
      </c>
      <c r="U71">
        <v>0</v>
      </c>
      <c r="V71">
        <v>4</v>
      </c>
    </row>
    <row r="72" spans="1:22" x14ac:dyDescent="0.2">
      <c r="A72" s="1">
        <v>71</v>
      </c>
      <c r="B72">
        <v>219</v>
      </c>
      <c r="C72">
        <v>178</v>
      </c>
      <c r="D72">
        <v>181</v>
      </c>
      <c r="E72">
        <v>220</v>
      </c>
      <c r="F72">
        <v>179</v>
      </c>
      <c r="G72">
        <v>182</v>
      </c>
      <c r="H72">
        <v>339.84931506849313</v>
      </c>
      <c r="I72">
        <v>416.18539325842698</v>
      </c>
      <c r="J72">
        <v>411.20441988950279</v>
      </c>
      <c r="K72">
        <v>27.102255178623949</v>
      </c>
      <c r="L72">
        <v>299.84669229705179</v>
      </c>
      <c r="M72">
        <v>256.1945813945166</v>
      </c>
      <c r="N72">
        <v>194</v>
      </c>
      <c r="O72">
        <v>184</v>
      </c>
      <c r="P72">
        <v>192</v>
      </c>
      <c r="Q72">
        <v>449</v>
      </c>
      <c r="R72">
        <v>3035</v>
      </c>
      <c r="S72">
        <v>2404</v>
      </c>
      <c r="T72">
        <v>0</v>
      </c>
      <c r="U72">
        <v>10</v>
      </c>
      <c r="V72">
        <v>4</v>
      </c>
    </row>
    <row r="73" spans="1:22" x14ac:dyDescent="0.2">
      <c r="A73" s="1">
        <v>72</v>
      </c>
      <c r="B73">
        <v>229</v>
      </c>
      <c r="C73">
        <v>232</v>
      </c>
      <c r="D73">
        <v>235</v>
      </c>
      <c r="E73">
        <v>230</v>
      </c>
      <c r="F73">
        <v>233</v>
      </c>
      <c r="G73">
        <v>236</v>
      </c>
      <c r="H73">
        <v>404.80786026200872</v>
      </c>
      <c r="I73">
        <v>399.57758620689663</v>
      </c>
      <c r="J73">
        <v>394.47659574468088</v>
      </c>
      <c r="K73">
        <v>60.665228409240328</v>
      </c>
      <c r="L73">
        <v>62.662381385498158</v>
      </c>
      <c r="M73">
        <v>67.697309635991175</v>
      </c>
      <c r="N73">
        <v>169</v>
      </c>
      <c r="O73">
        <v>163</v>
      </c>
      <c r="P73">
        <v>160</v>
      </c>
      <c r="Q73">
        <v>751</v>
      </c>
      <c r="R73">
        <v>589</v>
      </c>
      <c r="S73">
        <v>576</v>
      </c>
      <c r="T73">
        <v>0</v>
      </c>
      <c r="U73">
        <v>0</v>
      </c>
      <c r="V73">
        <v>0</v>
      </c>
    </row>
    <row r="74" spans="1:22" x14ac:dyDescent="0.2">
      <c r="A74" s="1">
        <v>73</v>
      </c>
    </row>
    <row r="75" spans="1:22" x14ac:dyDescent="0.2">
      <c r="A75" s="1">
        <v>74</v>
      </c>
      <c r="B75">
        <v>36</v>
      </c>
      <c r="C75">
        <v>47</v>
      </c>
      <c r="D75">
        <v>41</v>
      </c>
      <c r="E75">
        <v>37</v>
      </c>
      <c r="F75">
        <v>48</v>
      </c>
      <c r="G75">
        <v>42</v>
      </c>
      <c r="H75">
        <v>528.83333333333337</v>
      </c>
      <c r="I75">
        <v>468.34042553191489</v>
      </c>
      <c r="J75">
        <v>496</v>
      </c>
      <c r="K75">
        <v>346.28943303048021</v>
      </c>
      <c r="L75">
        <v>310.13063703204477</v>
      </c>
      <c r="M75">
        <v>391.05543085347892</v>
      </c>
      <c r="N75">
        <v>160</v>
      </c>
      <c r="O75">
        <v>312</v>
      </c>
      <c r="P75">
        <v>188</v>
      </c>
      <c r="Q75">
        <v>1857</v>
      </c>
      <c r="R75">
        <v>2231</v>
      </c>
      <c r="S75">
        <v>2223</v>
      </c>
      <c r="T75">
        <v>5</v>
      </c>
      <c r="U75">
        <v>2</v>
      </c>
      <c r="V75">
        <v>3</v>
      </c>
    </row>
    <row r="76" spans="1:22" x14ac:dyDescent="0.2">
      <c r="A76" s="1">
        <v>75</v>
      </c>
      <c r="B76">
        <v>180</v>
      </c>
      <c r="C76">
        <v>179</v>
      </c>
      <c r="D76">
        <v>160</v>
      </c>
      <c r="E76">
        <v>181</v>
      </c>
      <c r="F76">
        <v>180</v>
      </c>
      <c r="G76">
        <v>161</v>
      </c>
      <c r="H76">
        <v>390.67777777777781</v>
      </c>
      <c r="I76">
        <v>392.85474860335188</v>
      </c>
      <c r="J76">
        <v>437.49374999999998</v>
      </c>
      <c r="K76">
        <v>124.99987287392671</v>
      </c>
      <c r="L76">
        <v>167.40303622190621</v>
      </c>
      <c r="M76">
        <v>312.93853751588119</v>
      </c>
      <c r="N76">
        <v>161</v>
      </c>
      <c r="O76">
        <v>151</v>
      </c>
      <c r="P76">
        <v>155</v>
      </c>
      <c r="Q76">
        <v>1170</v>
      </c>
      <c r="R76">
        <v>1851</v>
      </c>
      <c r="S76">
        <v>2577</v>
      </c>
      <c r="T76">
        <v>3</v>
      </c>
      <c r="U76">
        <v>4</v>
      </c>
      <c r="V76">
        <v>6</v>
      </c>
    </row>
    <row r="77" spans="1:22" x14ac:dyDescent="0.2">
      <c r="A77" s="1">
        <v>76</v>
      </c>
    </row>
    <row r="78" spans="1:22" x14ac:dyDescent="0.2">
      <c r="A78" s="1">
        <v>77</v>
      </c>
      <c r="B78">
        <v>257</v>
      </c>
      <c r="C78">
        <v>257</v>
      </c>
      <c r="D78">
        <v>257</v>
      </c>
      <c r="E78">
        <v>258</v>
      </c>
      <c r="F78">
        <v>258</v>
      </c>
      <c r="G78">
        <v>258</v>
      </c>
      <c r="H78">
        <v>291.93774319066148</v>
      </c>
      <c r="I78">
        <v>291.96108949416339</v>
      </c>
      <c r="J78">
        <v>291.96108949416339</v>
      </c>
      <c r="K78">
        <v>32.617516137030059</v>
      </c>
      <c r="L78">
        <v>23.527710631473809</v>
      </c>
      <c r="M78">
        <v>23.583761204658721</v>
      </c>
      <c r="N78">
        <v>220</v>
      </c>
      <c r="O78">
        <v>250</v>
      </c>
      <c r="P78">
        <v>249</v>
      </c>
      <c r="Q78">
        <v>402</v>
      </c>
      <c r="R78">
        <v>368</v>
      </c>
      <c r="S78">
        <v>368</v>
      </c>
      <c r="T78">
        <v>0</v>
      </c>
      <c r="U78">
        <v>0</v>
      </c>
      <c r="V78">
        <v>0</v>
      </c>
    </row>
    <row r="79" spans="1:22" x14ac:dyDescent="0.2">
      <c r="A79" s="1">
        <v>78</v>
      </c>
      <c r="B79">
        <v>168</v>
      </c>
      <c r="C79">
        <v>110</v>
      </c>
      <c r="D79">
        <v>99</v>
      </c>
      <c r="E79">
        <v>169</v>
      </c>
      <c r="F79">
        <v>111</v>
      </c>
      <c r="G79">
        <v>100</v>
      </c>
      <c r="H79">
        <v>359.66666666666669</v>
      </c>
      <c r="I79">
        <v>548.13636363636363</v>
      </c>
      <c r="J79">
        <v>604.55555555555554</v>
      </c>
      <c r="K79">
        <v>31.89610128910914</v>
      </c>
      <c r="L79">
        <v>431.94149869928248</v>
      </c>
      <c r="M79">
        <v>1542.157296446808</v>
      </c>
      <c r="N79">
        <v>228</v>
      </c>
      <c r="O79">
        <v>203</v>
      </c>
      <c r="P79">
        <v>153</v>
      </c>
      <c r="Q79">
        <v>446</v>
      </c>
      <c r="R79">
        <v>2343</v>
      </c>
      <c r="S79">
        <v>15451</v>
      </c>
      <c r="T79">
        <v>0</v>
      </c>
      <c r="U79">
        <v>14</v>
      </c>
      <c r="V79">
        <v>6</v>
      </c>
    </row>
    <row r="80" spans="1:22" x14ac:dyDescent="0.2">
      <c r="A80" s="1">
        <v>79</v>
      </c>
      <c r="B80">
        <v>84</v>
      </c>
      <c r="C80">
        <v>63</v>
      </c>
      <c r="D80">
        <v>57</v>
      </c>
      <c r="E80">
        <v>85</v>
      </c>
      <c r="F80">
        <v>64</v>
      </c>
      <c r="G80">
        <v>58</v>
      </c>
      <c r="H80">
        <v>642.63095238095241</v>
      </c>
      <c r="I80">
        <v>841.22222222222217</v>
      </c>
      <c r="J80">
        <v>934.45614035087715</v>
      </c>
      <c r="K80">
        <v>778.52238447381387</v>
      </c>
      <c r="L80">
        <v>1233.646658834306</v>
      </c>
      <c r="M80">
        <v>1329.4835607184291</v>
      </c>
      <c r="N80">
        <v>173</v>
      </c>
      <c r="O80">
        <v>157</v>
      </c>
      <c r="P80">
        <v>192</v>
      </c>
      <c r="Q80">
        <v>4920</v>
      </c>
      <c r="R80">
        <v>7997</v>
      </c>
      <c r="S80">
        <v>7997</v>
      </c>
      <c r="T80">
        <v>11</v>
      </c>
      <c r="U80">
        <v>11</v>
      </c>
      <c r="V80">
        <v>12</v>
      </c>
    </row>
    <row r="81" spans="1:22" x14ac:dyDescent="0.2">
      <c r="A81" s="1">
        <v>80</v>
      </c>
      <c r="B81">
        <v>158</v>
      </c>
      <c r="C81">
        <v>145</v>
      </c>
      <c r="D81">
        <v>158</v>
      </c>
      <c r="E81">
        <v>159</v>
      </c>
      <c r="F81">
        <v>146</v>
      </c>
      <c r="G81">
        <v>159</v>
      </c>
      <c r="H81">
        <v>308.25949367088612</v>
      </c>
      <c r="I81">
        <v>335.59310344827588</v>
      </c>
      <c r="J81">
        <v>308.04430379746827</v>
      </c>
      <c r="K81">
        <v>119.3368182212911</v>
      </c>
      <c r="L81">
        <v>225.98114770655971</v>
      </c>
      <c r="M81">
        <v>91.155102993422773</v>
      </c>
      <c r="N81">
        <v>155</v>
      </c>
      <c r="O81">
        <v>183</v>
      </c>
      <c r="P81">
        <v>188</v>
      </c>
      <c r="Q81">
        <v>1488</v>
      </c>
      <c r="R81">
        <v>2695</v>
      </c>
      <c r="S81">
        <v>896</v>
      </c>
      <c r="T81">
        <v>1</v>
      </c>
      <c r="U81">
        <v>1</v>
      </c>
      <c r="V81">
        <v>0</v>
      </c>
    </row>
    <row r="82" spans="1:22" x14ac:dyDescent="0.2">
      <c r="A82" s="1">
        <v>81</v>
      </c>
      <c r="B82">
        <v>106</v>
      </c>
      <c r="C82">
        <v>106</v>
      </c>
      <c r="D82">
        <v>108</v>
      </c>
      <c r="E82">
        <v>107</v>
      </c>
      <c r="F82">
        <v>107</v>
      </c>
      <c r="G82">
        <v>109</v>
      </c>
      <c r="H82">
        <v>391.88679245283021</v>
      </c>
      <c r="I82">
        <v>391.14150943396231</v>
      </c>
      <c r="J82">
        <v>383.90740740740739</v>
      </c>
      <c r="K82">
        <v>101.1880211953133</v>
      </c>
      <c r="L82">
        <v>85.519191795286275</v>
      </c>
      <c r="M82">
        <v>94.124548332638071</v>
      </c>
      <c r="N82">
        <v>164</v>
      </c>
      <c r="O82">
        <v>180</v>
      </c>
      <c r="P82">
        <v>168</v>
      </c>
      <c r="Q82">
        <v>828</v>
      </c>
      <c r="R82">
        <v>762</v>
      </c>
      <c r="S82">
        <v>764</v>
      </c>
      <c r="T82">
        <v>0</v>
      </c>
      <c r="U82">
        <v>0</v>
      </c>
      <c r="V82">
        <v>0</v>
      </c>
    </row>
    <row r="83" spans="1:22" x14ac:dyDescent="0.2">
      <c r="A83" s="1">
        <v>82</v>
      </c>
      <c r="B83">
        <v>210</v>
      </c>
      <c r="C83">
        <v>205</v>
      </c>
      <c r="D83">
        <v>199</v>
      </c>
      <c r="E83">
        <v>211</v>
      </c>
      <c r="F83">
        <v>206</v>
      </c>
      <c r="G83">
        <v>200</v>
      </c>
      <c r="H83">
        <v>357.75714285714292</v>
      </c>
      <c r="I83">
        <v>366.47804878048782</v>
      </c>
      <c r="J83">
        <v>377.52763819095469</v>
      </c>
      <c r="K83">
        <v>39.056002870477258</v>
      </c>
      <c r="L83">
        <v>70.934972680020508</v>
      </c>
      <c r="M83">
        <v>130.1162572236407</v>
      </c>
      <c r="N83">
        <v>228</v>
      </c>
      <c r="O83">
        <v>240</v>
      </c>
      <c r="P83">
        <v>160</v>
      </c>
      <c r="Q83">
        <v>736</v>
      </c>
      <c r="R83">
        <v>800</v>
      </c>
      <c r="S83">
        <v>1482</v>
      </c>
      <c r="T83">
        <v>0</v>
      </c>
      <c r="U83">
        <v>0</v>
      </c>
      <c r="V83">
        <v>2</v>
      </c>
    </row>
    <row r="84" spans="1:22" x14ac:dyDescent="0.2">
      <c r="A84" s="1">
        <v>83</v>
      </c>
    </row>
    <row r="85" spans="1:22" x14ac:dyDescent="0.2">
      <c r="A85" s="1">
        <v>84</v>
      </c>
      <c r="B85">
        <v>175</v>
      </c>
      <c r="C85">
        <v>180</v>
      </c>
      <c r="D85">
        <v>169</v>
      </c>
      <c r="E85">
        <v>176</v>
      </c>
      <c r="F85">
        <v>181</v>
      </c>
      <c r="G85">
        <v>170</v>
      </c>
      <c r="H85">
        <v>427.33714285714291</v>
      </c>
      <c r="I85">
        <v>415.46111111111111</v>
      </c>
      <c r="J85">
        <v>442.52071005917162</v>
      </c>
      <c r="K85">
        <v>120.16600367851829</v>
      </c>
      <c r="L85">
        <v>98.533626616386812</v>
      </c>
      <c r="M85">
        <v>164.46754234561629</v>
      </c>
      <c r="N85">
        <v>174</v>
      </c>
      <c r="O85">
        <v>157</v>
      </c>
      <c r="P85">
        <v>162</v>
      </c>
      <c r="Q85">
        <v>1104</v>
      </c>
      <c r="R85">
        <v>1104</v>
      </c>
      <c r="S85">
        <v>1668</v>
      </c>
      <c r="T85">
        <v>1</v>
      </c>
      <c r="U85">
        <v>1</v>
      </c>
      <c r="V85">
        <v>4</v>
      </c>
    </row>
    <row r="86" spans="1:22" x14ac:dyDescent="0.2">
      <c r="A86" s="1">
        <v>85</v>
      </c>
      <c r="B86">
        <v>78</v>
      </c>
      <c r="C86">
        <v>65</v>
      </c>
      <c r="D86">
        <v>72</v>
      </c>
      <c r="E86">
        <v>79</v>
      </c>
      <c r="F86">
        <v>66</v>
      </c>
      <c r="G86">
        <v>73</v>
      </c>
      <c r="H86">
        <v>662.01282051282055</v>
      </c>
      <c r="I86">
        <v>791.83076923076919</v>
      </c>
      <c r="J86">
        <v>714.56944444444446</v>
      </c>
      <c r="K86">
        <v>646.76181395421304</v>
      </c>
      <c r="L86">
        <v>758.60415750802576</v>
      </c>
      <c r="M86">
        <v>725.49135998949384</v>
      </c>
      <c r="N86">
        <v>199</v>
      </c>
      <c r="O86">
        <v>229</v>
      </c>
      <c r="P86">
        <v>219</v>
      </c>
      <c r="Q86">
        <v>4988</v>
      </c>
      <c r="R86">
        <v>4988</v>
      </c>
      <c r="S86">
        <v>4988</v>
      </c>
      <c r="T86">
        <v>13</v>
      </c>
      <c r="U86">
        <v>14</v>
      </c>
      <c r="V86">
        <v>13</v>
      </c>
    </row>
    <row r="87" spans="1:22" x14ac:dyDescent="0.2">
      <c r="A87" s="1">
        <v>86</v>
      </c>
      <c r="B87">
        <v>208</v>
      </c>
      <c r="C87">
        <v>203</v>
      </c>
      <c r="D87">
        <v>202</v>
      </c>
      <c r="E87">
        <v>209</v>
      </c>
      <c r="F87">
        <v>204</v>
      </c>
      <c r="G87">
        <v>203</v>
      </c>
      <c r="H87">
        <v>358.22596153846149</v>
      </c>
      <c r="I87">
        <v>367.05911330049258</v>
      </c>
      <c r="J87">
        <v>368.87128712871288</v>
      </c>
      <c r="K87">
        <v>125.03322031622579</v>
      </c>
      <c r="L87">
        <v>161.9985529002779</v>
      </c>
      <c r="M87">
        <v>136.38314214017291</v>
      </c>
      <c r="N87">
        <v>153</v>
      </c>
      <c r="O87">
        <v>165</v>
      </c>
      <c r="P87">
        <v>165</v>
      </c>
      <c r="Q87">
        <v>1947</v>
      </c>
      <c r="R87">
        <v>1972</v>
      </c>
      <c r="S87">
        <v>1563</v>
      </c>
      <c r="T87">
        <v>1</v>
      </c>
      <c r="U87">
        <v>3</v>
      </c>
      <c r="V87">
        <v>2</v>
      </c>
    </row>
    <row r="88" spans="1:22" x14ac:dyDescent="0.2">
      <c r="A88" s="1">
        <v>87</v>
      </c>
      <c r="B88">
        <v>184</v>
      </c>
      <c r="C88">
        <v>183</v>
      </c>
      <c r="D88">
        <v>179</v>
      </c>
      <c r="E88">
        <v>185</v>
      </c>
      <c r="F88">
        <v>184</v>
      </c>
      <c r="G88">
        <v>180</v>
      </c>
      <c r="H88">
        <v>404.11956521739131</v>
      </c>
      <c r="I88">
        <v>406.33879781420762</v>
      </c>
      <c r="J88">
        <v>413.94972067039112</v>
      </c>
      <c r="K88">
        <v>79.687139933920207</v>
      </c>
      <c r="L88">
        <v>72.88501385539179</v>
      </c>
      <c r="M88">
        <v>262.73822307057088</v>
      </c>
      <c r="N88">
        <v>176</v>
      </c>
      <c r="O88">
        <v>225</v>
      </c>
      <c r="P88">
        <v>152</v>
      </c>
      <c r="Q88">
        <v>1146</v>
      </c>
      <c r="R88">
        <v>1156</v>
      </c>
      <c r="S88">
        <v>1984</v>
      </c>
      <c r="T88">
        <v>1</v>
      </c>
      <c r="U88">
        <v>1</v>
      </c>
      <c r="V88">
        <v>6</v>
      </c>
    </row>
    <row r="89" spans="1:22" x14ac:dyDescent="0.2">
      <c r="A89" s="1">
        <v>88</v>
      </c>
      <c r="B89">
        <v>235</v>
      </c>
      <c r="C89">
        <v>235</v>
      </c>
      <c r="D89">
        <v>206</v>
      </c>
      <c r="E89">
        <v>236</v>
      </c>
      <c r="F89">
        <v>236</v>
      </c>
      <c r="G89">
        <v>207</v>
      </c>
      <c r="H89">
        <v>317.27234042553192</v>
      </c>
      <c r="I89">
        <v>317.4382978723404</v>
      </c>
      <c r="J89">
        <v>363.22330097087382</v>
      </c>
      <c r="K89">
        <v>32.249068774255981</v>
      </c>
      <c r="L89">
        <v>22.511711607151121</v>
      </c>
      <c r="M89">
        <v>153.38692869159581</v>
      </c>
      <c r="N89">
        <v>195</v>
      </c>
      <c r="O89">
        <v>211</v>
      </c>
      <c r="P89">
        <v>151</v>
      </c>
      <c r="Q89">
        <v>420</v>
      </c>
      <c r="R89">
        <v>405</v>
      </c>
      <c r="S89">
        <v>1331</v>
      </c>
      <c r="T89">
        <v>0</v>
      </c>
      <c r="U89">
        <v>0</v>
      </c>
      <c r="V89">
        <v>2</v>
      </c>
    </row>
    <row r="90" spans="1:22" x14ac:dyDescent="0.2">
      <c r="A90" s="1">
        <v>89</v>
      </c>
      <c r="B90">
        <v>103</v>
      </c>
      <c r="C90">
        <v>166</v>
      </c>
      <c r="D90">
        <v>156</v>
      </c>
      <c r="E90">
        <v>104</v>
      </c>
      <c r="F90">
        <v>167</v>
      </c>
      <c r="G90">
        <v>157</v>
      </c>
      <c r="H90">
        <v>695.85436893203882</v>
      </c>
      <c r="I90">
        <v>447.26506024096392</v>
      </c>
      <c r="J90">
        <v>475.94230769230768</v>
      </c>
      <c r="K90">
        <v>1243.034730540046</v>
      </c>
      <c r="L90">
        <v>49.357344935554003</v>
      </c>
      <c r="M90">
        <v>177.13025061344581</v>
      </c>
      <c r="N90">
        <v>248</v>
      </c>
      <c r="O90">
        <v>154</v>
      </c>
      <c r="P90">
        <v>156</v>
      </c>
      <c r="Q90">
        <v>11948</v>
      </c>
      <c r="R90">
        <v>604</v>
      </c>
      <c r="S90">
        <v>1435</v>
      </c>
      <c r="T90">
        <v>7</v>
      </c>
      <c r="U90">
        <v>0</v>
      </c>
      <c r="V90">
        <v>3</v>
      </c>
    </row>
    <row r="91" spans="1:22" x14ac:dyDescent="0.2">
      <c r="A91" s="1">
        <v>90</v>
      </c>
      <c r="B91">
        <v>317</v>
      </c>
      <c r="C91">
        <v>319</v>
      </c>
      <c r="D91">
        <v>70</v>
      </c>
      <c r="E91">
        <v>318</v>
      </c>
      <c r="F91">
        <v>320</v>
      </c>
      <c r="G91">
        <v>71</v>
      </c>
      <c r="H91">
        <v>405.90536277602519</v>
      </c>
      <c r="I91">
        <v>403.35736677115989</v>
      </c>
      <c r="J91">
        <v>1598.228571428572</v>
      </c>
      <c r="K91">
        <v>49.719439468109847</v>
      </c>
      <c r="L91">
        <v>51.253815939793327</v>
      </c>
      <c r="M91">
        <v>3242.4273210829529</v>
      </c>
      <c r="N91">
        <v>245</v>
      </c>
      <c r="O91">
        <v>162</v>
      </c>
      <c r="P91">
        <v>151</v>
      </c>
      <c r="Q91">
        <v>720</v>
      </c>
      <c r="R91">
        <v>719</v>
      </c>
      <c r="S91">
        <v>22389</v>
      </c>
      <c r="T91">
        <v>0</v>
      </c>
      <c r="U91">
        <v>0</v>
      </c>
      <c r="V91">
        <v>23</v>
      </c>
    </row>
    <row r="93" spans="1:22" x14ac:dyDescent="0.2">
      <c r="H93">
        <f>MEDIAN(H2:H91)</f>
        <v>388.9865572826713</v>
      </c>
      <c r="I93">
        <f t="shared" ref="I93:J93" si="0">MEDIAN(I2:I91)</f>
        <v>389.6072130503145</v>
      </c>
      <c r="J93">
        <f t="shared" si="0"/>
        <v>387.77475982297062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V93"/>
  <sheetViews>
    <sheetView topLeftCell="A55" workbookViewId="0">
      <selection activeCell="H93" sqref="H93:J93"/>
    </sheetView>
  </sheetViews>
  <sheetFormatPr baseColWidth="10" defaultColWidth="8.83203125" defaultRowHeight="15" x14ac:dyDescent="0.2"/>
  <sheetData>
    <row r="1" spans="1:22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342</v>
      </c>
      <c r="C2">
        <v>314</v>
      </c>
      <c r="D2">
        <v>336</v>
      </c>
      <c r="E2">
        <v>343</v>
      </c>
      <c r="F2">
        <v>315</v>
      </c>
      <c r="G2">
        <v>337</v>
      </c>
      <c r="H2">
        <v>218.86842105263159</v>
      </c>
      <c r="I2">
        <v>238.3853503184713</v>
      </c>
      <c r="J2">
        <v>222.77678571428569</v>
      </c>
      <c r="K2">
        <v>36.416822791813487</v>
      </c>
      <c r="L2">
        <v>101.31042941072199</v>
      </c>
      <c r="M2">
        <v>64.679145152801979</v>
      </c>
      <c r="N2">
        <v>169</v>
      </c>
      <c r="O2">
        <v>160</v>
      </c>
      <c r="P2">
        <v>185</v>
      </c>
      <c r="Q2">
        <v>587</v>
      </c>
      <c r="R2">
        <v>1063</v>
      </c>
      <c r="S2">
        <v>978</v>
      </c>
      <c r="T2">
        <v>0</v>
      </c>
      <c r="U2">
        <v>1</v>
      </c>
      <c r="V2">
        <v>0</v>
      </c>
    </row>
    <row r="3" spans="1:22" x14ac:dyDescent="0.2">
      <c r="A3" s="1">
        <v>2</v>
      </c>
      <c r="B3">
        <v>323</v>
      </c>
      <c r="C3">
        <v>331</v>
      </c>
      <c r="D3">
        <v>332</v>
      </c>
      <c r="E3">
        <v>324</v>
      </c>
      <c r="F3">
        <v>332</v>
      </c>
      <c r="G3">
        <v>333</v>
      </c>
      <c r="H3">
        <v>221.91950464396291</v>
      </c>
      <c r="I3">
        <v>216.55589123867071</v>
      </c>
      <c r="J3">
        <v>215.90361445783131</v>
      </c>
      <c r="K3">
        <v>39.580718183577382</v>
      </c>
      <c r="L3">
        <v>20.097769815374331</v>
      </c>
      <c r="M3">
        <v>17.646145532467511</v>
      </c>
      <c r="N3">
        <v>163</v>
      </c>
      <c r="O3">
        <v>187</v>
      </c>
      <c r="P3">
        <v>182</v>
      </c>
      <c r="Q3">
        <v>601</v>
      </c>
      <c r="R3">
        <v>401</v>
      </c>
      <c r="S3">
        <v>266</v>
      </c>
      <c r="T3">
        <v>0</v>
      </c>
      <c r="U3">
        <v>0</v>
      </c>
      <c r="V3">
        <v>0</v>
      </c>
    </row>
    <row r="4" spans="1:22" x14ac:dyDescent="0.2">
      <c r="A4" s="1">
        <v>3</v>
      </c>
      <c r="B4">
        <v>334</v>
      </c>
      <c r="C4">
        <v>334</v>
      </c>
      <c r="D4">
        <v>334</v>
      </c>
      <c r="E4">
        <v>335</v>
      </c>
      <c r="F4">
        <v>335</v>
      </c>
      <c r="G4">
        <v>335</v>
      </c>
      <c r="H4">
        <v>224.17964071856289</v>
      </c>
      <c r="I4">
        <v>224.17964071856289</v>
      </c>
      <c r="J4">
        <v>224.17964071856289</v>
      </c>
      <c r="K4">
        <v>13.64139847754188</v>
      </c>
      <c r="L4">
        <v>13.666031797700249</v>
      </c>
      <c r="M4">
        <v>13.65174108695898</v>
      </c>
      <c r="N4">
        <v>193</v>
      </c>
      <c r="O4">
        <v>192</v>
      </c>
      <c r="P4">
        <v>191</v>
      </c>
      <c r="Q4">
        <v>270</v>
      </c>
      <c r="R4">
        <v>270</v>
      </c>
      <c r="S4">
        <v>270</v>
      </c>
      <c r="T4">
        <v>0</v>
      </c>
      <c r="U4">
        <v>0</v>
      </c>
      <c r="V4">
        <v>0</v>
      </c>
    </row>
    <row r="5" spans="1:22" x14ac:dyDescent="0.2">
      <c r="A5" s="1">
        <v>4</v>
      </c>
      <c r="B5">
        <v>368</v>
      </c>
      <c r="C5">
        <v>367</v>
      </c>
      <c r="D5">
        <v>369</v>
      </c>
      <c r="E5">
        <v>369</v>
      </c>
      <c r="F5">
        <v>368</v>
      </c>
      <c r="G5">
        <v>370</v>
      </c>
      <c r="H5">
        <v>203.20108695652169</v>
      </c>
      <c r="I5">
        <v>203.7520435967302</v>
      </c>
      <c r="J5">
        <v>202.6476964769648</v>
      </c>
      <c r="K5">
        <v>16.87533384997986</v>
      </c>
      <c r="L5">
        <v>25.055481385350511</v>
      </c>
      <c r="M5">
        <v>13.817738337991081</v>
      </c>
      <c r="N5">
        <v>175</v>
      </c>
      <c r="O5">
        <v>174</v>
      </c>
      <c r="P5">
        <v>175</v>
      </c>
      <c r="Q5">
        <v>389</v>
      </c>
      <c r="R5">
        <v>578</v>
      </c>
      <c r="S5">
        <v>328</v>
      </c>
      <c r="T5">
        <v>0</v>
      </c>
      <c r="U5">
        <v>0</v>
      </c>
      <c r="V5">
        <v>0</v>
      </c>
    </row>
    <row r="6" spans="1:22" x14ac:dyDescent="0.2">
      <c r="A6" s="1">
        <v>5</v>
      </c>
    </row>
    <row r="7" spans="1:22" x14ac:dyDescent="0.2">
      <c r="A7" s="1">
        <v>6</v>
      </c>
      <c r="B7">
        <v>355</v>
      </c>
      <c r="C7">
        <v>356</v>
      </c>
      <c r="D7">
        <v>349</v>
      </c>
      <c r="E7">
        <v>356</v>
      </c>
      <c r="F7">
        <v>357</v>
      </c>
      <c r="G7">
        <v>350</v>
      </c>
      <c r="H7">
        <v>210.81408450704231</v>
      </c>
      <c r="I7">
        <v>210.22752808988761</v>
      </c>
      <c r="J7">
        <v>214.4297994269341</v>
      </c>
      <c r="K7">
        <v>26.86362974964797</v>
      </c>
      <c r="L7">
        <v>35.356477193100709</v>
      </c>
      <c r="M7">
        <v>41.468708951281457</v>
      </c>
      <c r="N7">
        <v>158</v>
      </c>
      <c r="O7">
        <v>183</v>
      </c>
      <c r="P7">
        <v>156</v>
      </c>
      <c r="Q7">
        <v>494</v>
      </c>
      <c r="R7">
        <v>792</v>
      </c>
      <c r="S7">
        <v>617</v>
      </c>
      <c r="T7">
        <v>0</v>
      </c>
      <c r="U7">
        <v>0</v>
      </c>
      <c r="V7">
        <v>0</v>
      </c>
    </row>
    <row r="8" spans="1:22" x14ac:dyDescent="0.2">
      <c r="A8" s="1">
        <v>7</v>
      </c>
      <c r="B8">
        <v>318</v>
      </c>
      <c r="C8">
        <v>294</v>
      </c>
      <c r="D8">
        <v>332</v>
      </c>
      <c r="E8">
        <v>319</v>
      </c>
      <c r="F8">
        <v>295</v>
      </c>
      <c r="G8">
        <v>333</v>
      </c>
      <c r="H8">
        <v>234.82389937106919</v>
      </c>
      <c r="I8">
        <v>252.73809523809521</v>
      </c>
      <c r="J8">
        <v>223.81325301204819</v>
      </c>
      <c r="K8">
        <v>84.985880036433869</v>
      </c>
      <c r="L8">
        <v>93.912580680180312</v>
      </c>
      <c r="M8">
        <v>46.286198268069263</v>
      </c>
      <c r="N8">
        <v>158</v>
      </c>
      <c r="O8">
        <v>156</v>
      </c>
      <c r="P8">
        <v>157</v>
      </c>
      <c r="Q8">
        <v>939</v>
      </c>
      <c r="R8">
        <v>695</v>
      </c>
      <c r="S8">
        <v>557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77</v>
      </c>
      <c r="C9">
        <v>96</v>
      </c>
      <c r="D9">
        <v>96</v>
      </c>
      <c r="E9">
        <v>78</v>
      </c>
      <c r="F9">
        <v>97</v>
      </c>
      <c r="G9">
        <v>97</v>
      </c>
      <c r="H9">
        <v>431.38961038961043</v>
      </c>
      <c r="I9">
        <v>346.5625</v>
      </c>
      <c r="J9">
        <v>346.54166666666669</v>
      </c>
      <c r="K9">
        <v>251.21337941259981</v>
      </c>
      <c r="L9">
        <v>30.32032929275427</v>
      </c>
      <c r="M9">
        <v>30.527956701208769</v>
      </c>
      <c r="N9">
        <v>219</v>
      </c>
      <c r="O9">
        <v>271</v>
      </c>
      <c r="P9">
        <v>272</v>
      </c>
      <c r="Q9">
        <v>1802</v>
      </c>
      <c r="R9">
        <v>414</v>
      </c>
      <c r="S9">
        <v>416</v>
      </c>
      <c r="T9">
        <v>4</v>
      </c>
      <c r="U9">
        <v>0</v>
      </c>
      <c r="V9">
        <v>0</v>
      </c>
    </row>
    <row r="10" spans="1:22" x14ac:dyDescent="0.2">
      <c r="A10" s="1">
        <v>9</v>
      </c>
      <c r="B10">
        <v>344</v>
      </c>
      <c r="C10">
        <v>339</v>
      </c>
      <c r="D10">
        <v>344</v>
      </c>
      <c r="E10">
        <v>345</v>
      </c>
      <c r="F10">
        <v>340</v>
      </c>
      <c r="G10">
        <v>345</v>
      </c>
      <c r="H10">
        <v>217.18313953488371</v>
      </c>
      <c r="I10">
        <v>220.3864306784661</v>
      </c>
      <c r="J10">
        <v>217.18313953488371</v>
      </c>
      <c r="K10">
        <v>15.24316624682309</v>
      </c>
      <c r="L10">
        <v>26.64329225957918</v>
      </c>
      <c r="M10">
        <v>14.60015797363538</v>
      </c>
      <c r="N10">
        <v>158</v>
      </c>
      <c r="O10">
        <v>179</v>
      </c>
      <c r="P10">
        <v>179</v>
      </c>
      <c r="Q10">
        <v>258</v>
      </c>
      <c r="R10">
        <v>553</v>
      </c>
      <c r="S10">
        <v>257</v>
      </c>
      <c r="T10">
        <v>0</v>
      </c>
      <c r="U10">
        <v>0</v>
      </c>
      <c r="V10">
        <v>0</v>
      </c>
    </row>
    <row r="11" spans="1:22" x14ac:dyDescent="0.2">
      <c r="A11" s="1">
        <v>10</v>
      </c>
      <c r="B11">
        <v>327</v>
      </c>
      <c r="C11">
        <v>326</v>
      </c>
      <c r="D11">
        <v>329</v>
      </c>
      <c r="E11">
        <v>328</v>
      </c>
      <c r="F11">
        <v>327</v>
      </c>
      <c r="G11">
        <v>330</v>
      </c>
      <c r="H11">
        <v>228.30886850152899</v>
      </c>
      <c r="I11">
        <v>229.01226993865029</v>
      </c>
      <c r="J11">
        <v>226.92097264437689</v>
      </c>
      <c r="K11">
        <v>31.575005854758821</v>
      </c>
      <c r="L11">
        <v>37.640074835217249</v>
      </c>
      <c r="M11">
        <v>23.211247883717309</v>
      </c>
      <c r="N11">
        <v>164</v>
      </c>
      <c r="O11">
        <v>181</v>
      </c>
      <c r="P11">
        <v>192</v>
      </c>
      <c r="Q11">
        <v>511</v>
      </c>
      <c r="R11">
        <v>755</v>
      </c>
      <c r="S11">
        <v>480</v>
      </c>
      <c r="T11">
        <v>0</v>
      </c>
      <c r="U11">
        <v>0</v>
      </c>
      <c r="V11">
        <v>0</v>
      </c>
    </row>
    <row r="12" spans="1:22" x14ac:dyDescent="0.2">
      <c r="A12" s="1">
        <v>11</v>
      </c>
      <c r="B12">
        <v>294</v>
      </c>
      <c r="C12">
        <v>292</v>
      </c>
      <c r="D12">
        <v>292</v>
      </c>
      <c r="E12">
        <v>295</v>
      </c>
      <c r="F12">
        <v>293</v>
      </c>
      <c r="G12">
        <v>293</v>
      </c>
      <c r="H12">
        <v>254.26190476190479</v>
      </c>
      <c r="I12">
        <v>256.00342465753431</v>
      </c>
      <c r="J12">
        <v>256.00342465753431</v>
      </c>
      <c r="K12">
        <v>39.331740100008957</v>
      </c>
      <c r="L12">
        <v>41.382508572135002</v>
      </c>
      <c r="M12">
        <v>39.235696129600818</v>
      </c>
      <c r="N12">
        <v>152</v>
      </c>
      <c r="O12">
        <v>151</v>
      </c>
      <c r="P12">
        <v>151</v>
      </c>
      <c r="Q12">
        <v>405</v>
      </c>
      <c r="R12">
        <v>405</v>
      </c>
      <c r="S12">
        <v>405</v>
      </c>
      <c r="T12">
        <v>0</v>
      </c>
      <c r="U12">
        <v>0</v>
      </c>
      <c r="V12">
        <v>0</v>
      </c>
    </row>
    <row r="13" spans="1:22" x14ac:dyDescent="0.2">
      <c r="A13" s="1">
        <v>12</v>
      </c>
      <c r="B13">
        <v>305</v>
      </c>
      <c r="C13">
        <v>305</v>
      </c>
      <c r="D13">
        <v>305</v>
      </c>
      <c r="E13">
        <v>306</v>
      </c>
      <c r="F13">
        <v>306</v>
      </c>
      <c r="G13">
        <v>306</v>
      </c>
      <c r="H13">
        <v>245.76065573770489</v>
      </c>
      <c r="I13">
        <v>245.75737704918029</v>
      </c>
      <c r="J13">
        <v>245.75737704918029</v>
      </c>
      <c r="K13">
        <v>16.261385471826511</v>
      </c>
      <c r="L13">
        <v>16.218090725535738</v>
      </c>
      <c r="M13">
        <v>16.293973488528401</v>
      </c>
      <c r="N13">
        <v>213</v>
      </c>
      <c r="O13">
        <v>214</v>
      </c>
      <c r="P13">
        <v>214</v>
      </c>
      <c r="Q13">
        <v>297</v>
      </c>
      <c r="R13">
        <v>297</v>
      </c>
      <c r="S13">
        <v>296</v>
      </c>
      <c r="T13">
        <v>0</v>
      </c>
      <c r="U13">
        <v>0</v>
      </c>
      <c r="V13">
        <v>0</v>
      </c>
    </row>
    <row r="14" spans="1:22" x14ac:dyDescent="0.2">
      <c r="A14" s="1">
        <v>13</v>
      </c>
    </row>
    <row r="15" spans="1:22" x14ac:dyDescent="0.2">
      <c r="A15" s="1">
        <v>14</v>
      </c>
      <c r="B15">
        <v>318</v>
      </c>
      <c r="C15">
        <v>329</v>
      </c>
      <c r="D15">
        <v>303</v>
      </c>
      <c r="E15">
        <v>319</v>
      </c>
      <c r="F15">
        <v>330</v>
      </c>
      <c r="G15">
        <v>304</v>
      </c>
      <c r="H15">
        <v>235.00943396226421</v>
      </c>
      <c r="I15">
        <v>227.14893617021281</v>
      </c>
      <c r="J15">
        <v>246.63696369636961</v>
      </c>
      <c r="K15">
        <v>49.869070584285211</v>
      </c>
      <c r="L15">
        <v>14.147707532953399</v>
      </c>
      <c r="M15">
        <v>88.174872642861075</v>
      </c>
      <c r="N15">
        <v>152</v>
      </c>
      <c r="O15">
        <v>193</v>
      </c>
      <c r="P15">
        <v>168</v>
      </c>
      <c r="Q15">
        <v>595</v>
      </c>
      <c r="R15">
        <v>402</v>
      </c>
      <c r="S15">
        <v>876</v>
      </c>
      <c r="T15">
        <v>0</v>
      </c>
      <c r="U15">
        <v>0</v>
      </c>
      <c r="V15">
        <v>0</v>
      </c>
    </row>
    <row r="16" spans="1:22" x14ac:dyDescent="0.2">
      <c r="A16" s="1">
        <v>15</v>
      </c>
      <c r="B16">
        <v>333</v>
      </c>
      <c r="C16">
        <v>330</v>
      </c>
      <c r="D16">
        <v>333</v>
      </c>
      <c r="E16">
        <v>334</v>
      </c>
      <c r="F16">
        <v>331</v>
      </c>
      <c r="G16">
        <v>334</v>
      </c>
      <c r="H16">
        <v>225.78078078078079</v>
      </c>
      <c r="I16">
        <v>227.83636363636359</v>
      </c>
      <c r="J16">
        <v>225.78078078078079</v>
      </c>
      <c r="K16">
        <v>16.901646476169489</v>
      </c>
      <c r="L16">
        <v>50.50700886197356</v>
      </c>
      <c r="M16">
        <v>17.719959901382889</v>
      </c>
      <c r="N16">
        <v>200</v>
      </c>
      <c r="O16">
        <v>200</v>
      </c>
      <c r="P16">
        <v>200</v>
      </c>
      <c r="Q16">
        <v>428</v>
      </c>
      <c r="R16">
        <v>1113</v>
      </c>
      <c r="S16">
        <v>451</v>
      </c>
      <c r="T16">
        <v>0</v>
      </c>
      <c r="U16">
        <v>1</v>
      </c>
      <c r="V16">
        <v>0</v>
      </c>
    </row>
    <row r="17" spans="1:22" x14ac:dyDescent="0.2">
      <c r="A17" s="1">
        <v>16</v>
      </c>
      <c r="B17">
        <v>359</v>
      </c>
      <c r="C17">
        <v>227</v>
      </c>
      <c r="D17">
        <v>279</v>
      </c>
      <c r="E17">
        <v>360</v>
      </c>
      <c r="F17">
        <v>228</v>
      </c>
      <c r="G17">
        <v>280</v>
      </c>
      <c r="H17">
        <v>207.8969359331476</v>
      </c>
      <c r="I17">
        <v>328.85903083700441</v>
      </c>
      <c r="J17">
        <v>268.24731182795699</v>
      </c>
      <c r="K17">
        <v>40.381670251009268</v>
      </c>
      <c r="L17">
        <v>219.2115546760283</v>
      </c>
      <c r="M17">
        <v>182.4866993821216</v>
      </c>
      <c r="N17">
        <v>164</v>
      </c>
      <c r="O17">
        <v>157</v>
      </c>
      <c r="P17">
        <v>163</v>
      </c>
      <c r="Q17">
        <v>604</v>
      </c>
      <c r="R17">
        <v>1313</v>
      </c>
      <c r="S17">
        <v>1748</v>
      </c>
      <c r="T17">
        <v>0</v>
      </c>
      <c r="U17">
        <v>6</v>
      </c>
      <c r="V17">
        <v>5</v>
      </c>
    </row>
    <row r="18" spans="1:22" x14ac:dyDescent="0.2">
      <c r="A18" s="1">
        <v>17</v>
      </c>
      <c r="B18">
        <v>335</v>
      </c>
      <c r="C18">
        <v>173</v>
      </c>
      <c r="D18">
        <v>54</v>
      </c>
      <c r="E18">
        <v>336</v>
      </c>
      <c r="F18">
        <v>174</v>
      </c>
      <c r="G18">
        <v>55</v>
      </c>
      <c r="H18">
        <v>222.6626865671642</v>
      </c>
      <c r="I18">
        <v>424.52601156069358</v>
      </c>
      <c r="J18">
        <v>1343.6111111111111</v>
      </c>
      <c r="K18">
        <v>76.797519054201928</v>
      </c>
      <c r="L18">
        <v>457.9201662734784</v>
      </c>
      <c r="M18">
        <v>1923.1966649174719</v>
      </c>
      <c r="N18">
        <v>165</v>
      </c>
      <c r="O18">
        <v>155</v>
      </c>
      <c r="P18">
        <v>152</v>
      </c>
      <c r="Q18">
        <v>1413</v>
      </c>
      <c r="R18">
        <v>2927</v>
      </c>
      <c r="S18">
        <v>8880</v>
      </c>
      <c r="T18">
        <v>1</v>
      </c>
      <c r="U18">
        <v>13</v>
      </c>
      <c r="V18">
        <v>18</v>
      </c>
    </row>
    <row r="19" spans="1:22" x14ac:dyDescent="0.2">
      <c r="A19" s="1">
        <v>18</v>
      </c>
    </row>
    <row r="20" spans="1:22" x14ac:dyDescent="0.2">
      <c r="A20" s="1">
        <v>19</v>
      </c>
      <c r="B20">
        <v>315</v>
      </c>
      <c r="C20">
        <v>313</v>
      </c>
      <c r="D20">
        <v>311</v>
      </c>
      <c r="E20">
        <v>316</v>
      </c>
      <c r="F20">
        <v>314</v>
      </c>
      <c r="G20">
        <v>312</v>
      </c>
      <c r="H20">
        <v>236.92063492063491</v>
      </c>
      <c r="I20">
        <v>237.0095846645367</v>
      </c>
      <c r="J20">
        <v>239.9742765273312</v>
      </c>
      <c r="K20">
        <v>10.11353004847723</v>
      </c>
      <c r="L20">
        <v>8.8377416272786178</v>
      </c>
      <c r="M20">
        <v>43.065209153030402</v>
      </c>
      <c r="N20">
        <v>183</v>
      </c>
      <c r="O20">
        <v>216</v>
      </c>
      <c r="P20">
        <v>152</v>
      </c>
      <c r="Q20">
        <v>309</v>
      </c>
      <c r="R20">
        <v>274</v>
      </c>
      <c r="S20">
        <v>801</v>
      </c>
      <c r="T20">
        <v>0</v>
      </c>
      <c r="U20">
        <v>0</v>
      </c>
      <c r="V20">
        <v>0</v>
      </c>
    </row>
    <row r="21" spans="1:22" x14ac:dyDescent="0.2">
      <c r="A21" s="1">
        <v>20</v>
      </c>
      <c r="B21">
        <v>157</v>
      </c>
      <c r="C21">
        <v>30</v>
      </c>
      <c r="D21">
        <v>143</v>
      </c>
      <c r="E21">
        <v>158</v>
      </c>
      <c r="F21">
        <v>31</v>
      </c>
      <c r="G21">
        <v>144</v>
      </c>
      <c r="H21">
        <v>232.33757961783439</v>
      </c>
      <c r="I21">
        <v>1189.5</v>
      </c>
      <c r="J21">
        <v>252.90909090909091</v>
      </c>
      <c r="K21">
        <v>105.460501424803</v>
      </c>
      <c r="L21">
        <v>892.26108557281941</v>
      </c>
      <c r="M21">
        <v>147.0911813162119</v>
      </c>
      <c r="N21">
        <v>173</v>
      </c>
      <c r="O21">
        <v>165</v>
      </c>
      <c r="P21">
        <v>152</v>
      </c>
      <c r="Q21">
        <v>1383</v>
      </c>
      <c r="R21">
        <v>3679</v>
      </c>
      <c r="S21">
        <v>1428</v>
      </c>
      <c r="T21">
        <v>1</v>
      </c>
      <c r="U21">
        <v>13</v>
      </c>
      <c r="V21">
        <v>1</v>
      </c>
    </row>
    <row r="22" spans="1:22" x14ac:dyDescent="0.2">
      <c r="A22" s="1">
        <v>21</v>
      </c>
      <c r="B22">
        <v>317</v>
      </c>
      <c r="C22">
        <v>318</v>
      </c>
      <c r="D22">
        <v>320</v>
      </c>
      <c r="E22">
        <v>318</v>
      </c>
      <c r="F22">
        <v>319</v>
      </c>
      <c r="G22">
        <v>321</v>
      </c>
      <c r="H22">
        <v>236.40378548895899</v>
      </c>
      <c r="I22">
        <v>235.74842767295601</v>
      </c>
      <c r="J22">
        <v>234.27500000000001</v>
      </c>
      <c r="K22">
        <v>30.103214611209271</v>
      </c>
      <c r="L22">
        <v>20.822812215476521</v>
      </c>
      <c r="M22">
        <v>15.10027091870149</v>
      </c>
      <c r="N22">
        <v>169</v>
      </c>
      <c r="O22">
        <v>186</v>
      </c>
      <c r="P22">
        <v>203</v>
      </c>
      <c r="Q22">
        <v>649</v>
      </c>
      <c r="R22">
        <v>417</v>
      </c>
      <c r="S22">
        <v>273</v>
      </c>
      <c r="T22">
        <v>0</v>
      </c>
      <c r="U22">
        <v>0</v>
      </c>
      <c r="V22">
        <v>0</v>
      </c>
    </row>
    <row r="23" spans="1:22" x14ac:dyDescent="0.2">
      <c r="A23" s="1">
        <v>22</v>
      </c>
      <c r="B23">
        <v>353</v>
      </c>
      <c r="C23">
        <v>348</v>
      </c>
      <c r="D23">
        <v>347</v>
      </c>
      <c r="E23">
        <v>354</v>
      </c>
      <c r="F23">
        <v>349</v>
      </c>
      <c r="G23">
        <v>348</v>
      </c>
      <c r="H23">
        <v>212.1501416430595</v>
      </c>
      <c r="I23">
        <v>215.2586206896552</v>
      </c>
      <c r="J23">
        <v>215.35734870317</v>
      </c>
      <c r="K23">
        <v>18.901286819838202</v>
      </c>
      <c r="L23">
        <v>28.752582850422439</v>
      </c>
      <c r="M23">
        <v>23.113797943610539</v>
      </c>
      <c r="N23">
        <v>160</v>
      </c>
      <c r="O23">
        <v>179</v>
      </c>
      <c r="P23">
        <v>156</v>
      </c>
      <c r="Q23">
        <v>269</v>
      </c>
      <c r="R23">
        <v>587</v>
      </c>
      <c r="S23">
        <v>462</v>
      </c>
      <c r="T23">
        <v>0</v>
      </c>
      <c r="U23">
        <v>0</v>
      </c>
      <c r="V23">
        <v>0</v>
      </c>
    </row>
    <row r="24" spans="1:22" x14ac:dyDescent="0.2">
      <c r="A24" s="1">
        <v>23</v>
      </c>
      <c r="B24">
        <v>321</v>
      </c>
      <c r="C24">
        <v>308</v>
      </c>
      <c r="D24">
        <v>331</v>
      </c>
      <c r="E24">
        <v>322</v>
      </c>
      <c r="F24">
        <v>309</v>
      </c>
      <c r="G24">
        <v>332</v>
      </c>
      <c r="H24">
        <v>232.74143302180681</v>
      </c>
      <c r="I24">
        <v>242.6396103896104</v>
      </c>
      <c r="J24">
        <v>225.77341389728099</v>
      </c>
      <c r="K24">
        <v>61.704121087574293</v>
      </c>
      <c r="L24">
        <v>103.0696768968118</v>
      </c>
      <c r="M24">
        <v>66.94027202148186</v>
      </c>
      <c r="N24">
        <v>154</v>
      </c>
      <c r="O24">
        <v>151</v>
      </c>
      <c r="P24">
        <v>163</v>
      </c>
      <c r="Q24">
        <v>570</v>
      </c>
      <c r="R24">
        <v>1047</v>
      </c>
      <c r="S24">
        <v>763</v>
      </c>
      <c r="T24">
        <v>0</v>
      </c>
      <c r="U24">
        <v>1</v>
      </c>
      <c r="V24">
        <v>0</v>
      </c>
    </row>
    <row r="25" spans="1:22" x14ac:dyDescent="0.2">
      <c r="A25" s="1">
        <v>24</v>
      </c>
      <c r="B25">
        <v>305</v>
      </c>
      <c r="C25">
        <v>259</v>
      </c>
      <c r="D25">
        <v>282</v>
      </c>
      <c r="E25">
        <v>306</v>
      </c>
      <c r="F25">
        <v>260</v>
      </c>
      <c r="G25">
        <v>283</v>
      </c>
      <c r="H25">
        <v>244.1606557377049</v>
      </c>
      <c r="I25">
        <v>277.73359073359069</v>
      </c>
      <c r="J25">
        <v>263.35106382978722</v>
      </c>
      <c r="K25">
        <v>138.750546796799</v>
      </c>
      <c r="L25">
        <v>296.77280100722982</v>
      </c>
      <c r="M25">
        <v>267.94054583445762</v>
      </c>
      <c r="N25">
        <v>168</v>
      </c>
      <c r="O25">
        <v>155</v>
      </c>
      <c r="P25">
        <v>154</v>
      </c>
      <c r="Q25">
        <v>1608</v>
      </c>
      <c r="R25">
        <v>2976</v>
      </c>
      <c r="S25">
        <v>2785</v>
      </c>
      <c r="T25">
        <v>1</v>
      </c>
      <c r="U25">
        <v>8</v>
      </c>
      <c r="V25">
        <v>6</v>
      </c>
    </row>
    <row r="26" spans="1:22" x14ac:dyDescent="0.2">
      <c r="A26" s="1">
        <v>25</v>
      </c>
      <c r="B26">
        <v>236</v>
      </c>
      <c r="C26">
        <v>273</v>
      </c>
      <c r="D26">
        <v>266</v>
      </c>
      <c r="E26">
        <v>237</v>
      </c>
      <c r="F26">
        <v>274</v>
      </c>
      <c r="G26">
        <v>267</v>
      </c>
      <c r="H26">
        <v>239.57203389830511</v>
      </c>
      <c r="I26">
        <v>208.46153846153851</v>
      </c>
      <c r="J26">
        <v>213.9360902255639</v>
      </c>
      <c r="K26">
        <v>91.087233741832719</v>
      </c>
      <c r="L26">
        <v>35.658090728320552</v>
      </c>
      <c r="M26">
        <v>59.320934404459983</v>
      </c>
      <c r="N26">
        <v>151</v>
      </c>
      <c r="O26">
        <v>179</v>
      </c>
      <c r="P26">
        <v>163</v>
      </c>
      <c r="Q26">
        <v>854</v>
      </c>
      <c r="R26">
        <v>640</v>
      </c>
      <c r="S26">
        <v>844</v>
      </c>
      <c r="T26">
        <v>0</v>
      </c>
      <c r="U26">
        <v>0</v>
      </c>
      <c r="V26">
        <v>0</v>
      </c>
    </row>
    <row r="27" spans="1:22" x14ac:dyDescent="0.2">
      <c r="A27" s="1">
        <v>26</v>
      </c>
      <c r="B27">
        <v>308</v>
      </c>
      <c r="C27">
        <v>237</v>
      </c>
      <c r="D27">
        <v>157</v>
      </c>
      <c r="E27">
        <v>309</v>
      </c>
      <c r="F27">
        <v>238</v>
      </c>
      <c r="G27">
        <v>158</v>
      </c>
      <c r="H27">
        <v>242.47402597402601</v>
      </c>
      <c r="I27">
        <v>314.68776371308019</v>
      </c>
      <c r="J27">
        <v>476.4140127388535</v>
      </c>
      <c r="K27">
        <v>152.211116804433</v>
      </c>
      <c r="L27">
        <v>261.64708808922569</v>
      </c>
      <c r="M27">
        <v>435.24472992856511</v>
      </c>
      <c r="N27">
        <v>165</v>
      </c>
      <c r="O27">
        <v>176</v>
      </c>
      <c r="P27">
        <v>162</v>
      </c>
      <c r="Q27">
        <v>1515</v>
      </c>
      <c r="R27">
        <v>2020</v>
      </c>
      <c r="S27">
        <v>2445</v>
      </c>
      <c r="T27">
        <v>3</v>
      </c>
      <c r="U27">
        <v>9</v>
      </c>
      <c r="V27">
        <v>17</v>
      </c>
    </row>
    <row r="28" spans="1:22" x14ac:dyDescent="0.2">
      <c r="A28" s="1">
        <v>27</v>
      </c>
      <c r="B28">
        <v>328</v>
      </c>
      <c r="C28">
        <v>327</v>
      </c>
      <c r="D28">
        <v>324</v>
      </c>
      <c r="E28">
        <v>329</v>
      </c>
      <c r="F28">
        <v>328</v>
      </c>
      <c r="G28">
        <v>325</v>
      </c>
      <c r="H28">
        <v>228.32012195121951</v>
      </c>
      <c r="I28">
        <v>229.0183486238532</v>
      </c>
      <c r="J28">
        <v>231.141975308642</v>
      </c>
      <c r="K28">
        <v>13.393296419325161</v>
      </c>
      <c r="L28">
        <v>16.509886414261938</v>
      </c>
      <c r="M28">
        <v>23.934215125447821</v>
      </c>
      <c r="N28">
        <v>199</v>
      </c>
      <c r="O28">
        <v>199</v>
      </c>
      <c r="P28">
        <v>154</v>
      </c>
      <c r="Q28">
        <v>269</v>
      </c>
      <c r="R28">
        <v>399</v>
      </c>
      <c r="S28">
        <v>454</v>
      </c>
      <c r="T28">
        <v>0</v>
      </c>
      <c r="U28">
        <v>0</v>
      </c>
      <c r="V28">
        <v>0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</row>
    <row r="32" spans="1:22" x14ac:dyDescent="0.2">
      <c r="A32" s="1">
        <v>31</v>
      </c>
      <c r="B32">
        <v>287</v>
      </c>
      <c r="C32">
        <v>221</v>
      </c>
      <c r="D32">
        <v>300</v>
      </c>
      <c r="E32">
        <v>288</v>
      </c>
      <c r="F32">
        <v>222</v>
      </c>
      <c r="G32">
        <v>301</v>
      </c>
      <c r="H32">
        <v>259.29965156794418</v>
      </c>
      <c r="I32">
        <v>335.00452488687779</v>
      </c>
      <c r="J32">
        <v>248.84</v>
      </c>
      <c r="K32">
        <v>105.076399610583</v>
      </c>
      <c r="L32">
        <v>274.74474927131843</v>
      </c>
      <c r="M32">
        <v>86.700312652532119</v>
      </c>
      <c r="N32">
        <v>185</v>
      </c>
      <c r="O32">
        <v>172</v>
      </c>
      <c r="P32">
        <v>191</v>
      </c>
      <c r="Q32">
        <v>1027</v>
      </c>
      <c r="R32">
        <v>1925</v>
      </c>
      <c r="S32">
        <v>1028</v>
      </c>
      <c r="T32">
        <v>1</v>
      </c>
      <c r="U32">
        <v>8</v>
      </c>
      <c r="V32">
        <v>1</v>
      </c>
    </row>
    <row r="33" spans="1:22" x14ac:dyDescent="0.2">
      <c r="A33" s="1">
        <v>32</v>
      </c>
      <c r="B33">
        <v>308</v>
      </c>
      <c r="C33">
        <v>309</v>
      </c>
      <c r="D33">
        <v>309</v>
      </c>
      <c r="E33">
        <v>309</v>
      </c>
      <c r="F33">
        <v>310</v>
      </c>
      <c r="G33">
        <v>310</v>
      </c>
      <c r="H33">
        <v>242.72077922077921</v>
      </c>
      <c r="I33">
        <v>242.0323624595469</v>
      </c>
      <c r="J33">
        <v>242.02912621359221</v>
      </c>
      <c r="K33">
        <v>22.420470158473339</v>
      </c>
      <c r="L33">
        <v>14.082742083680619</v>
      </c>
      <c r="M33">
        <v>13.66846995779941</v>
      </c>
      <c r="N33">
        <v>178</v>
      </c>
      <c r="O33">
        <v>183</v>
      </c>
      <c r="P33">
        <v>208</v>
      </c>
      <c r="Q33">
        <v>482</v>
      </c>
      <c r="R33">
        <v>307</v>
      </c>
      <c r="S33">
        <v>307</v>
      </c>
      <c r="T33">
        <v>0</v>
      </c>
      <c r="U33">
        <v>0</v>
      </c>
      <c r="V33">
        <v>0</v>
      </c>
    </row>
    <row r="34" spans="1:22" x14ac:dyDescent="0.2">
      <c r="A34" s="1">
        <v>33</v>
      </c>
      <c r="B34">
        <v>226</v>
      </c>
      <c r="C34">
        <v>174</v>
      </c>
      <c r="D34">
        <v>226</v>
      </c>
      <c r="E34">
        <v>227</v>
      </c>
      <c r="F34">
        <v>175</v>
      </c>
      <c r="G34">
        <v>227</v>
      </c>
      <c r="H34">
        <v>224.94690265486719</v>
      </c>
      <c r="I34">
        <v>290.59770114942529</v>
      </c>
      <c r="J34">
        <v>224.94690265486719</v>
      </c>
      <c r="K34">
        <v>32.053244788553407</v>
      </c>
      <c r="L34">
        <v>130.31757206938931</v>
      </c>
      <c r="M34">
        <v>31.35087188806067</v>
      </c>
      <c r="N34">
        <v>186</v>
      </c>
      <c r="O34">
        <v>151</v>
      </c>
      <c r="P34">
        <v>175</v>
      </c>
      <c r="Q34">
        <v>620</v>
      </c>
      <c r="R34">
        <v>945</v>
      </c>
      <c r="S34">
        <v>600</v>
      </c>
      <c r="T34">
        <v>0</v>
      </c>
      <c r="U34">
        <v>0</v>
      </c>
      <c r="V34">
        <v>0</v>
      </c>
    </row>
    <row r="35" spans="1:22" x14ac:dyDescent="0.2">
      <c r="A35" s="1">
        <v>34</v>
      </c>
      <c r="B35">
        <v>400</v>
      </c>
      <c r="C35">
        <v>334</v>
      </c>
      <c r="D35">
        <v>372</v>
      </c>
      <c r="E35">
        <v>401</v>
      </c>
      <c r="F35">
        <v>335</v>
      </c>
      <c r="G35">
        <v>373</v>
      </c>
      <c r="H35">
        <v>187.22749999999999</v>
      </c>
      <c r="I35">
        <v>224.2245508982036</v>
      </c>
      <c r="J35">
        <v>201.3198924731183</v>
      </c>
      <c r="K35">
        <v>15.903397085123601</v>
      </c>
      <c r="L35">
        <v>79.587792360013637</v>
      </c>
      <c r="M35">
        <v>52.378184508317283</v>
      </c>
      <c r="N35">
        <v>167</v>
      </c>
      <c r="O35">
        <v>160</v>
      </c>
      <c r="P35">
        <v>167</v>
      </c>
      <c r="Q35">
        <v>364</v>
      </c>
      <c r="R35">
        <v>546</v>
      </c>
      <c r="S35">
        <v>534</v>
      </c>
      <c r="T35">
        <v>0</v>
      </c>
      <c r="U35">
        <v>0</v>
      </c>
      <c r="V35">
        <v>0</v>
      </c>
    </row>
    <row r="36" spans="1:22" x14ac:dyDescent="0.2">
      <c r="A36" s="1">
        <v>35</v>
      </c>
      <c r="B36">
        <v>301</v>
      </c>
      <c r="C36">
        <v>299</v>
      </c>
      <c r="D36">
        <v>299</v>
      </c>
      <c r="E36">
        <v>302</v>
      </c>
      <c r="F36">
        <v>300</v>
      </c>
      <c r="G36">
        <v>300</v>
      </c>
      <c r="H36">
        <v>248.18272425249171</v>
      </c>
      <c r="I36">
        <v>249.84949832775919</v>
      </c>
      <c r="J36">
        <v>249.87625418060199</v>
      </c>
      <c r="K36">
        <v>32.153638993956967</v>
      </c>
      <c r="L36">
        <v>43.083118800597603</v>
      </c>
      <c r="M36">
        <v>54.809689702192358</v>
      </c>
      <c r="N36">
        <v>188</v>
      </c>
      <c r="O36">
        <v>204</v>
      </c>
      <c r="P36">
        <v>178</v>
      </c>
      <c r="Q36">
        <v>540</v>
      </c>
      <c r="R36">
        <v>684</v>
      </c>
      <c r="S36">
        <v>831</v>
      </c>
      <c r="T36">
        <v>0</v>
      </c>
      <c r="U36">
        <v>0</v>
      </c>
      <c r="V36">
        <v>0</v>
      </c>
    </row>
    <row r="37" spans="1:22" x14ac:dyDescent="0.2">
      <c r="A37" s="1">
        <v>36</v>
      </c>
      <c r="B37">
        <v>320</v>
      </c>
      <c r="C37">
        <v>290</v>
      </c>
      <c r="D37">
        <v>295</v>
      </c>
      <c r="E37">
        <v>321</v>
      </c>
      <c r="F37">
        <v>291</v>
      </c>
      <c r="G37">
        <v>296</v>
      </c>
      <c r="H37">
        <v>233.60312500000001</v>
      </c>
      <c r="I37">
        <v>257.72413793103448</v>
      </c>
      <c r="J37">
        <v>252.5728813559322</v>
      </c>
      <c r="K37">
        <v>16.769747810101979</v>
      </c>
      <c r="L37">
        <v>100.0349407994135</v>
      </c>
      <c r="M37">
        <v>86.632191921038796</v>
      </c>
      <c r="N37">
        <v>173</v>
      </c>
      <c r="O37">
        <v>168</v>
      </c>
      <c r="P37">
        <v>159</v>
      </c>
      <c r="Q37">
        <v>273</v>
      </c>
      <c r="R37">
        <v>998</v>
      </c>
      <c r="S37">
        <v>916</v>
      </c>
      <c r="T37">
        <v>0</v>
      </c>
      <c r="U37">
        <v>0</v>
      </c>
      <c r="V37">
        <v>0</v>
      </c>
    </row>
    <row r="38" spans="1:22" x14ac:dyDescent="0.2">
      <c r="A38" s="1">
        <v>37</v>
      </c>
      <c r="B38">
        <v>324</v>
      </c>
      <c r="C38">
        <v>327</v>
      </c>
      <c r="D38">
        <v>327</v>
      </c>
      <c r="E38">
        <v>325</v>
      </c>
      <c r="F38">
        <v>328</v>
      </c>
      <c r="G38">
        <v>328</v>
      </c>
      <c r="H38">
        <v>230.61111111111109</v>
      </c>
      <c r="I38">
        <v>228.4067278287462</v>
      </c>
      <c r="J38">
        <v>228.40978593272169</v>
      </c>
      <c r="K38">
        <v>35.815791179768979</v>
      </c>
      <c r="L38">
        <v>17.756611591488159</v>
      </c>
      <c r="M38">
        <v>17.779243488793021</v>
      </c>
      <c r="N38">
        <v>163</v>
      </c>
      <c r="O38">
        <v>173</v>
      </c>
      <c r="P38">
        <v>174</v>
      </c>
      <c r="Q38">
        <v>659</v>
      </c>
      <c r="R38">
        <v>274</v>
      </c>
      <c r="S38">
        <v>273</v>
      </c>
      <c r="T38">
        <v>0</v>
      </c>
      <c r="U38">
        <v>0</v>
      </c>
      <c r="V38">
        <v>0</v>
      </c>
    </row>
    <row r="39" spans="1:22" x14ac:dyDescent="0.2">
      <c r="A39" s="1">
        <v>38</v>
      </c>
      <c r="B39">
        <v>402</v>
      </c>
      <c r="C39">
        <v>406</v>
      </c>
      <c r="D39">
        <v>405</v>
      </c>
      <c r="E39">
        <v>403</v>
      </c>
      <c r="F39">
        <v>407</v>
      </c>
      <c r="G39">
        <v>406</v>
      </c>
      <c r="H39">
        <v>186.40298507462691</v>
      </c>
      <c r="I39">
        <v>184.56896551724139</v>
      </c>
      <c r="J39">
        <v>185.02469135802471</v>
      </c>
      <c r="K39">
        <v>49.940730867158038</v>
      </c>
      <c r="L39">
        <v>48.165393266917611</v>
      </c>
      <c r="M39">
        <v>45.086708351973201</v>
      </c>
      <c r="N39">
        <v>155</v>
      </c>
      <c r="O39">
        <v>156</v>
      </c>
      <c r="P39">
        <v>156</v>
      </c>
      <c r="Q39">
        <v>569</v>
      </c>
      <c r="R39">
        <v>739</v>
      </c>
      <c r="S39">
        <v>559</v>
      </c>
      <c r="T39">
        <v>0</v>
      </c>
      <c r="U39">
        <v>0</v>
      </c>
      <c r="V39">
        <v>0</v>
      </c>
    </row>
    <row r="40" spans="1:22" x14ac:dyDescent="0.2">
      <c r="A40" s="1">
        <v>39</v>
      </c>
      <c r="B40">
        <v>306</v>
      </c>
      <c r="C40">
        <v>200</v>
      </c>
      <c r="D40">
        <v>295</v>
      </c>
      <c r="E40">
        <v>307</v>
      </c>
      <c r="F40">
        <v>201</v>
      </c>
      <c r="G40">
        <v>296</v>
      </c>
      <c r="H40">
        <v>232.718954248366</v>
      </c>
      <c r="I40">
        <v>355.625</v>
      </c>
      <c r="J40">
        <v>241.39322033898301</v>
      </c>
      <c r="K40">
        <v>37.633427330942233</v>
      </c>
      <c r="L40">
        <v>220.00738766718879</v>
      </c>
      <c r="M40">
        <v>48.93395474176365</v>
      </c>
      <c r="N40">
        <v>177</v>
      </c>
      <c r="O40">
        <v>151</v>
      </c>
      <c r="P40">
        <v>166</v>
      </c>
      <c r="Q40">
        <v>414</v>
      </c>
      <c r="R40">
        <v>1703</v>
      </c>
      <c r="S40">
        <v>550</v>
      </c>
      <c r="T40">
        <v>0</v>
      </c>
      <c r="U40">
        <v>5</v>
      </c>
      <c r="V40">
        <v>0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48</v>
      </c>
      <c r="C43">
        <v>49</v>
      </c>
      <c r="D43">
        <v>49</v>
      </c>
      <c r="E43">
        <v>49</v>
      </c>
      <c r="F43">
        <v>116</v>
      </c>
      <c r="G43">
        <v>50</v>
      </c>
      <c r="H43">
        <v>234.95833333333329</v>
      </c>
      <c r="I43">
        <v>230.2040816326531</v>
      </c>
      <c r="J43">
        <v>230.12244897959181</v>
      </c>
      <c r="K43">
        <v>33.783389052706433</v>
      </c>
      <c r="L43">
        <v>9.8170336487079393</v>
      </c>
      <c r="M43">
        <v>12.86570482112106</v>
      </c>
      <c r="N43">
        <v>215</v>
      </c>
      <c r="O43">
        <v>215</v>
      </c>
      <c r="P43">
        <v>187</v>
      </c>
      <c r="Q43">
        <v>454</v>
      </c>
      <c r="R43">
        <v>260</v>
      </c>
      <c r="S43">
        <v>268</v>
      </c>
      <c r="T43">
        <v>0</v>
      </c>
      <c r="U43">
        <v>0</v>
      </c>
      <c r="V43">
        <v>0</v>
      </c>
    </row>
    <row r="44" spans="1:22" x14ac:dyDescent="0.2">
      <c r="A44" s="1">
        <v>43</v>
      </c>
      <c r="B44">
        <v>47</v>
      </c>
      <c r="C44">
        <v>36</v>
      </c>
      <c r="D44">
        <v>48</v>
      </c>
      <c r="E44">
        <v>48</v>
      </c>
      <c r="F44">
        <v>37</v>
      </c>
      <c r="G44">
        <v>49</v>
      </c>
      <c r="H44">
        <v>1566.829787234042</v>
      </c>
      <c r="I44">
        <v>2065.666666666667</v>
      </c>
      <c r="J44">
        <v>1530.208333333333</v>
      </c>
      <c r="K44">
        <v>2592.011836721068</v>
      </c>
      <c r="L44">
        <v>3091.3803297001718</v>
      </c>
      <c r="M44">
        <v>2052.317765598912</v>
      </c>
      <c r="N44">
        <v>237</v>
      </c>
      <c r="O44">
        <v>243</v>
      </c>
      <c r="P44">
        <v>220</v>
      </c>
      <c r="Q44">
        <v>13360</v>
      </c>
      <c r="R44">
        <v>15298</v>
      </c>
      <c r="S44">
        <v>9695</v>
      </c>
      <c r="T44">
        <v>19</v>
      </c>
      <c r="U44">
        <v>20</v>
      </c>
      <c r="V44">
        <v>17</v>
      </c>
    </row>
    <row r="45" spans="1:22" x14ac:dyDescent="0.2">
      <c r="A45" s="1">
        <v>44</v>
      </c>
      <c r="B45">
        <v>42</v>
      </c>
      <c r="C45">
        <v>47</v>
      </c>
      <c r="D45">
        <v>53</v>
      </c>
      <c r="E45">
        <v>59</v>
      </c>
      <c r="F45">
        <v>36</v>
      </c>
      <c r="G45">
        <v>54</v>
      </c>
      <c r="H45">
        <v>268.57142857142861</v>
      </c>
      <c r="I45">
        <v>333.63829787234039</v>
      </c>
      <c r="J45">
        <v>212.83018867924531</v>
      </c>
      <c r="K45">
        <v>259.7130821068157</v>
      </c>
      <c r="L45">
        <v>239.65622349087741</v>
      </c>
      <c r="M45">
        <v>37.325355296910949</v>
      </c>
      <c r="N45">
        <v>173</v>
      </c>
      <c r="O45">
        <v>195</v>
      </c>
      <c r="P45">
        <v>189</v>
      </c>
      <c r="Q45">
        <v>1538</v>
      </c>
      <c r="R45">
        <v>979</v>
      </c>
      <c r="S45">
        <v>373</v>
      </c>
      <c r="T45">
        <v>2</v>
      </c>
      <c r="U45">
        <v>0</v>
      </c>
      <c r="V45">
        <v>0</v>
      </c>
    </row>
    <row r="46" spans="1:22" x14ac:dyDescent="0.2">
      <c r="A46" s="1">
        <v>45</v>
      </c>
      <c r="B46">
        <v>339</v>
      </c>
      <c r="C46">
        <v>331</v>
      </c>
      <c r="D46">
        <v>345</v>
      </c>
      <c r="E46">
        <v>340</v>
      </c>
      <c r="F46">
        <v>332</v>
      </c>
      <c r="G46">
        <v>346</v>
      </c>
      <c r="H46">
        <v>221.22713864306789</v>
      </c>
      <c r="I46">
        <v>226.583081570997</v>
      </c>
      <c r="J46">
        <v>217.38550724637679</v>
      </c>
      <c r="K46">
        <v>46.548489394021551</v>
      </c>
      <c r="L46">
        <v>60.878330355215731</v>
      </c>
      <c r="M46">
        <v>31.24628943255502</v>
      </c>
      <c r="N46">
        <v>161</v>
      </c>
      <c r="O46">
        <v>164</v>
      </c>
      <c r="P46">
        <v>163</v>
      </c>
      <c r="Q46">
        <v>682</v>
      </c>
      <c r="R46">
        <v>812</v>
      </c>
      <c r="S46">
        <v>392</v>
      </c>
      <c r="T46">
        <v>0</v>
      </c>
      <c r="U46">
        <v>0</v>
      </c>
      <c r="V46">
        <v>0</v>
      </c>
    </row>
    <row r="47" spans="1:22" x14ac:dyDescent="0.2">
      <c r="A47" s="1">
        <v>46</v>
      </c>
      <c r="B47">
        <v>336</v>
      </c>
      <c r="C47">
        <v>336</v>
      </c>
      <c r="D47">
        <v>336</v>
      </c>
      <c r="E47">
        <v>337</v>
      </c>
      <c r="F47">
        <v>337</v>
      </c>
      <c r="G47">
        <v>337</v>
      </c>
      <c r="H47">
        <v>221.88392857142861</v>
      </c>
      <c r="I47">
        <v>221.88392857142861</v>
      </c>
      <c r="J47">
        <v>221.88095238095241</v>
      </c>
      <c r="K47">
        <v>29.11861861238253</v>
      </c>
      <c r="L47">
        <v>29.10918576947914</v>
      </c>
      <c r="M47">
        <v>29.090452765045399</v>
      </c>
      <c r="N47">
        <v>176</v>
      </c>
      <c r="O47">
        <v>175</v>
      </c>
      <c r="P47">
        <v>177</v>
      </c>
      <c r="Q47">
        <v>398</v>
      </c>
      <c r="R47">
        <v>397</v>
      </c>
      <c r="S47">
        <v>397</v>
      </c>
      <c r="T47">
        <v>0</v>
      </c>
      <c r="U47">
        <v>0</v>
      </c>
      <c r="V47">
        <v>0</v>
      </c>
    </row>
    <row r="48" spans="1:22" x14ac:dyDescent="0.2">
      <c r="A48" s="1">
        <v>47</v>
      </c>
      <c r="B48">
        <v>345</v>
      </c>
      <c r="C48">
        <v>345</v>
      </c>
      <c r="D48">
        <v>345</v>
      </c>
      <c r="E48">
        <v>346</v>
      </c>
      <c r="F48">
        <v>346</v>
      </c>
      <c r="G48">
        <v>346</v>
      </c>
      <c r="H48">
        <v>217.26666666666671</v>
      </c>
      <c r="I48">
        <v>217.26666666666671</v>
      </c>
      <c r="J48">
        <v>217.26666666666671</v>
      </c>
      <c r="K48">
        <v>19.428421600620901</v>
      </c>
      <c r="L48">
        <v>9.7750076825442171</v>
      </c>
      <c r="M48">
        <v>10.742421161130331</v>
      </c>
      <c r="N48">
        <v>172</v>
      </c>
      <c r="O48">
        <v>194</v>
      </c>
      <c r="P48">
        <v>153</v>
      </c>
      <c r="Q48">
        <v>264</v>
      </c>
      <c r="R48">
        <v>253</v>
      </c>
      <c r="S48">
        <v>266</v>
      </c>
      <c r="T48">
        <v>0</v>
      </c>
      <c r="U48">
        <v>0</v>
      </c>
      <c r="V48">
        <v>0</v>
      </c>
    </row>
    <row r="49" spans="1:22" x14ac:dyDescent="0.2">
      <c r="A49" s="1">
        <v>48</v>
      </c>
      <c r="B49">
        <v>267</v>
      </c>
      <c r="C49">
        <v>262</v>
      </c>
      <c r="D49">
        <v>266</v>
      </c>
      <c r="E49">
        <v>268</v>
      </c>
      <c r="F49">
        <v>263</v>
      </c>
      <c r="G49">
        <v>267</v>
      </c>
      <c r="H49">
        <v>240.0674157303371</v>
      </c>
      <c r="I49">
        <v>244.6641221374046</v>
      </c>
      <c r="J49">
        <v>240.42105263157899</v>
      </c>
      <c r="K49">
        <v>34.976941196692643</v>
      </c>
      <c r="L49">
        <v>54.199519400538897</v>
      </c>
      <c r="M49">
        <v>39.062545014869791</v>
      </c>
      <c r="N49">
        <v>172</v>
      </c>
      <c r="O49">
        <v>153</v>
      </c>
      <c r="P49">
        <v>178</v>
      </c>
      <c r="Q49">
        <v>461</v>
      </c>
      <c r="R49">
        <v>850</v>
      </c>
      <c r="S49">
        <v>645</v>
      </c>
      <c r="T49">
        <v>0</v>
      </c>
      <c r="U49">
        <v>0</v>
      </c>
      <c r="V49">
        <v>0</v>
      </c>
    </row>
    <row r="50" spans="1:22" x14ac:dyDescent="0.2">
      <c r="A50" s="1">
        <v>49</v>
      </c>
      <c r="B50">
        <v>333</v>
      </c>
      <c r="C50">
        <v>47</v>
      </c>
      <c r="D50">
        <v>353</v>
      </c>
      <c r="E50">
        <v>334</v>
      </c>
      <c r="F50">
        <v>48</v>
      </c>
      <c r="G50">
        <v>354</v>
      </c>
      <c r="H50">
        <v>224.34834834834831</v>
      </c>
      <c r="I50">
        <v>1555.553191489362</v>
      </c>
      <c r="J50">
        <v>211.6883852691218</v>
      </c>
      <c r="K50">
        <v>109.7550338005186</v>
      </c>
      <c r="L50">
        <v>2194.1200455497119</v>
      </c>
      <c r="M50">
        <v>76.799948996409796</v>
      </c>
      <c r="N50">
        <v>156</v>
      </c>
      <c r="O50">
        <v>152</v>
      </c>
      <c r="P50">
        <v>153</v>
      </c>
      <c r="Q50">
        <v>1585</v>
      </c>
      <c r="R50">
        <v>10776</v>
      </c>
      <c r="S50">
        <v>1074</v>
      </c>
      <c r="T50">
        <v>2</v>
      </c>
      <c r="U50">
        <v>19</v>
      </c>
      <c r="V50">
        <v>1</v>
      </c>
    </row>
    <row r="51" spans="1:22" x14ac:dyDescent="0.2">
      <c r="A51" s="1">
        <v>50</v>
      </c>
      <c r="B51">
        <v>319</v>
      </c>
      <c r="C51">
        <v>286</v>
      </c>
      <c r="D51">
        <v>315</v>
      </c>
      <c r="E51">
        <v>320</v>
      </c>
      <c r="F51">
        <v>287</v>
      </c>
      <c r="G51">
        <v>316</v>
      </c>
      <c r="H51">
        <v>234.2319749216301</v>
      </c>
      <c r="I51">
        <v>261.57342657342662</v>
      </c>
      <c r="J51">
        <v>237.2095238095238</v>
      </c>
      <c r="K51">
        <v>25.536435546627139</v>
      </c>
      <c r="L51">
        <v>120.2880454902586</v>
      </c>
      <c r="M51">
        <v>45.814294609181218</v>
      </c>
      <c r="N51">
        <v>192</v>
      </c>
      <c r="O51">
        <v>179</v>
      </c>
      <c r="P51">
        <v>206</v>
      </c>
      <c r="Q51">
        <v>484</v>
      </c>
      <c r="R51">
        <v>1166</v>
      </c>
      <c r="S51">
        <v>727</v>
      </c>
      <c r="T51">
        <v>0</v>
      </c>
      <c r="U51">
        <v>3</v>
      </c>
      <c r="V51">
        <v>0</v>
      </c>
    </row>
    <row r="52" spans="1:22" x14ac:dyDescent="0.2">
      <c r="A52" s="1">
        <v>51</v>
      </c>
      <c r="B52">
        <v>234</v>
      </c>
      <c r="C52">
        <v>175</v>
      </c>
      <c r="D52">
        <v>196</v>
      </c>
      <c r="E52">
        <v>235</v>
      </c>
      <c r="F52">
        <v>176</v>
      </c>
      <c r="G52">
        <v>197</v>
      </c>
      <c r="H52">
        <v>312.29059829059833</v>
      </c>
      <c r="I52">
        <v>401.74857142857138</v>
      </c>
      <c r="J52">
        <v>372.94897959183669</v>
      </c>
      <c r="K52">
        <v>360.22762378983572</v>
      </c>
      <c r="L52">
        <v>469.12844684452051</v>
      </c>
      <c r="M52">
        <v>435.71430000600469</v>
      </c>
      <c r="N52">
        <v>175</v>
      </c>
      <c r="O52">
        <v>189</v>
      </c>
      <c r="P52">
        <v>183</v>
      </c>
      <c r="Q52">
        <v>3332</v>
      </c>
      <c r="R52">
        <v>3055</v>
      </c>
      <c r="S52">
        <v>3055</v>
      </c>
      <c r="T52">
        <v>12</v>
      </c>
      <c r="U52">
        <v>15</v>
      </c>
      <c r="V52">
        <v>16</v>
      </c>
    </row>
    <row r="53" spans="1:22" x14ac:dyDescent="0.2">
      <c r="A53" s="1">
        <v>52</v>
      </c>
      <c r="B53">
        <v>164</v>
      </c>
      <c r="C53">
        <v>168</v>
      </c>
      <c r="D53">
        <v>168</v>
      </c>
      <c r="E53">
        <v>165</v>
      </c>
      <c r="F53">
        <v>169</v>
      </c>
      <c r="G53">
        <v>169</v>
      </c>
      <c r="H53">
        <v>203.5670731707317</v>
      </c>
      <c r="I53">
        <v>199.72619047619051</v>
      </c>
      <c r="J53">
        <v>199.72619047619051</v>
      </c>
      <c r="K53">
        <v>38.543598307919048</v>
      </c>
      <c r="L53">
        <v>19.42210062239036</v>
      </c>
      <c r="M53">
        <v>19.365597739801089</v>
      </c>
      <c r="N53">
        <v>153</v>
      </c>
      <c r="O53">
        <v>171</v>
      </c>
      <c r="P53">
        <v>171</v>
      </c>
      <c r="Q53">
        <v>571</v>
      </c>
      <c r="R53">
        <v>250</v>
      </c>
      <c r="S53">
        <v>250</v>
      </c>
      <c r="T53">
        <v>0</v>
      </c>
      <c r="U53">
        <v>0</v>
      </c>
      <c r="V53">
        <v>0</v>
      </c>
    </row>
    <row r="54" spans="1:22" x14ac:dyDescent="0.2">
      <c r="A54" s="1">
        <v>53</v>
      </c>
      <c r="B54">
        <v>327</v>
      </c>
      <c r="C54">
        <v>324</v>
      </c>
      <c r="D54">
        <v>322</v>
      </c>
      <c r="E54">
        <v>328</v>
      </c>
      <c r="F54">
        <v>325</v>
      </c>
      <c r="G54">
        <v>323</v>
      </c>
      <c r="H54">
        <v>228.4189602446483</v>
      </c>
      <c r="I54">
        <v>230.53086419753089</v>
      </c>
      <c r="J54">
        <v>231.9658385093168</v>
      </c>
      <c r="K54">
        <v>30.933314503215719</v>
      </c>
      <c r="L54">
        <v>45.359748504485452</v>
      </c>
      <c r="M54">
        <v>56.567513331942649</v>
      </c>
      <c r="N54">
        <v>184</v>
      </c>
      <c r="O54">
        <v>170</v>
      </c>
      <c r="P54">
        <v>171</v>
      </c>
      <c r="Q54">
        <v>626</v>
      </c>
      <c r="R54">
        <v>809</v>
      </c>
      <c r="S54">
        <v>865</v>
      </c>
      <c r="T54">
        <v>0</v>
      </c>
      <c r="U54">
        <v>0</v>
      </c>
      <c r="V54">
        <v>0</v>
      </c>
    </row>
    <row r="55" spans="1:22" x14ac:dyDescent="0.2">
      <c r="A55" s="1">
        <v>54</v>
      </c>
      <c r="B55">
        <v>344</v>
      </c>
      <c r="C55">
        <v>344</v>
      </c>
      <c r="D55">
        <v>344</v>
      </c>
      <c r="E55">
        <v>345</v>
      </c>
      <c r="F55">
        <v>345</v>
      </c>
      <c r="G55">
        <v>345</v>
      </c>
      <c r="H55">
        <v>217.75290697674421</v>
      </c>
      <c r="I55">
        <v>217.7558139534884</v>
      </c>
      <c r="J55">
        <v>217.75290697674421</v>
      </c>
      <c r="K55">
        <v>12.87934557907572</v>
      </c>
      <c r="L55">
        <v>12.725572652558631</v>
      </c>
      <c r="M55">
        <v>12.739369557178</v>
      </c>
      <c r="N55">
        <v>191</v>
      </c>
      <c r="O55">
        <v>191</v>
      </c>
      <c r="P55">
        <v>191</v>
      </c>
      <c r="Q55">
        <v>256</v>
      </c>
      <c r="R55">
        <v>255</v>
      </c>
      <c r="S55">
        <v>256</v>
      </c>
      <c r="T55">
        <v>0</v>
      </c>
      <c r="U55">
        <v>0</v>
      </c>
      <c r="V55">
        <v>0</v>
      </c>
    </row>
    <row r="56" spans="1:22" x14ac:dyDescent="0.2">
      <c r="A56" s="1">
        <v>55</v>
      </c>
      <c r="B56">
        <v>310</v>
      </c>
      <c r="C56">
        <v>278</v>
      </c>
      <c r="D56">
        <v>301</v>
      </c>
      <c r="E56">
        <v>311</v>
      </c>
      <c r="F56">
        <v>279</v>
      </c>
      <c r="G56">
        <v>302</v>
      </c>
      <c r="H56">
        <v>240.81612903225809</v>
      </c>
      <c r="I56">
        <v>265.16546762589928</v>
      </c>
      <c r="J56">
        <v>246.4651162790698</v>
      </c>
      <c r="K56">
        <v>55.875106896789319</v>
      </c>
      <c r="L56">
        <v>119.5012558049086</v>
      </c>
      <c r="M56">
        <v>82.058249305415771</v>
      </c>
      <c r="N56">
        <v>188</v>
      </c>
      <c r="O56">
        <v>200</v>
      </c>
      <c r="P56">
        <v>209</v>
      </c>
      <c r="Q56">
        <v>866</v>
      </c>
      <c r="R56">
        <v>1102</v>
      </c>
      <c r="S56">
        <v>1223</v>
      </c>
      <c r="T56">
        <v>0</v>
      </c>
      <c r="U56">
        <v>3</v>
      </c>
      <c r="V56">
        <v>1</v>
      </c>
    </row>
    <row r="57" spans="1:22" x14ac:dyDescent="0.2">
      <c r="A57" s="1">
        <v>56</v>
      </c>
      <c r="B57">
        <v>313</v>
      </c>
      <c r="C57">
        <v>313</v>
      </c>
      <c r="D57">
        <v>313</v>
      </c>
      <c r="E57">
        <v>314</v>
      </c>
      <c r="F57">
        <v>314</v>
      </c>
      <c r="G57">
        <v>314</v>
      </c>
      <c r="H57">
        <v>238.27156549520771</v>
      </c>
      <c r="I57">
        <v>238.26837060702869</v>
      </c>
      <c r="J57">
        <v>238.27156549520771</v>
      </c>
      <c r="K57">
        <v>19.277487612007771</v>
      </c>
      <c r="L57">
        <v>19.337708683922749</v>
      </c>
      <c r="M57">
        <v>19.29410672387138</v>
      </c>
      <c r="N57">
        <v>206</v>
      </c>
      <c r="O57">
        <v>205</v>
      </c>
      <c r="P57">
        <v>206</v>
      </c>
      <c r="Q57">
        <v>300</v>
      </c>
      <c r="R57">
        <v>300</v>
      </c>
      <c r="S57">
        <v>300</v>
      </c>
      <c r="T57">
        <v>0</v>
      </c>
      <c r="U57">
        <v>0</v>
      </c>
      <c r="V57">
        <v>0</v>
      </c>
    </row>
    <row r="58" spans="1:22" x14ac:dyDescent="0.2">
      <c r="A58" s="1">
        <v>57</v>
      </c>
      <c r="B58">
        <v>320</v>
      </c>
      <c r="C58">
        <v>314</v>
      </c>
      <c r="D58">
        <v>317</v>
      </c>
      <c r="E58">
        <v>321</v>
      </c>
      <c r="F58">
        <v>315</v>
      </c>
      <c r="G58">
        <v>318</v>
      </c>
      <c r="H58">
        <v>216.22812500000001</v>
      </c>
      <c r="I58">
        <v>220.3662420382166</v>
      </c>
      <c r="J58">
        <v>218.2839116719243</v>
      </c>
      <c r="K58">
        <v>26.502164510584439</v>
      </c>
      <c r="L58">
        <v>39.044207032100317</v>
      </c>
      <c r="M58">
        <v>29.922497354691849</v>
      </c>
      <c r="N58">
        <v>153</v>
      </c>
      <c r="O58">
        <v>180</v>
      </c>
      <c r="P58">
        <v>178</v>
      </c>
      <c r="Q58">
        <v>431</v>
      </c>
      <c r="R58">
        <v>559</v>
      </c>
      <c r="S58">
        <v>412</v>
      </c>
      <c r="T58">
        <v>0</v>
      </c>
      <c r="U58">
        <v>0</v>
      </c>
      <c r="V58">
        <v>0</v>
      </c>
    </row>
    <row r="59" spans="1:22" x14ac:dyDescent="0.2">
      <c r="A59" s="1">
        <v>58</v>
      </c>
      <c r="B59">
        <v>91</v>
      </c>
      <c r="C59">
        <v>75</v>
      </c>
      <c r="D59">
        <v>100</v>
      </c>
      <c r="E59">
        <v>100</v>
      </c>
      <c r="F59">
        <v>68</v>
      </c>
      <c r="G59">
        <v>109</v>
      </c>
      <c r="H59">
        <v>289.17582417582418</v>
      </c>
      <c r="I59">
        <v>377.92</v>
      </c>
      <c r="J59">
        <v>263.14</v>
      </c>
      <c r="K59">
        <v>166.7601466782352</v>
      </c>
      <c r="L59">
        <v>356.50290018152418</v>
      </c>
      <c r="M59">
        <v>184.14618808397469</v>
      </c>
      <c r="N59">
        <v>175</v>
      </c>
      <c r="O59">
        <v>186</v>
      </c>
      <c r="P59">
        <v>172</v>
      </c>
      <c r="Q59">
        <v>1430</v>
      </c>
      <c r="R59">
        <v>2175</v>
      </c>
      <c r="S59">
        <v>1811</v>
      </c>
      <c r="T59">
        <v>1</v>
      </c>
      <c r="U59">
        <v>4</v>
      </c>
      <c r="V59">
        <v>1</v>
      </c>
    </row>
    <row r="60" spans="1:22" x14ac:dyDescent="0.2">
      <c r="A60" s="1">
        <v>59</v>
      </c>
      <c r="B60">
        <v>255</v>
      </c>
      <c r="C60">
        <v>255</v>
      </c>
      <c r="D60">
        <v>254</v>
      </c>
      <c r="E60">
        <v>256</v>
      </c>
      <c r="F60">
        <v>256</v>
      </c>
      <c r="G60">
        <v>255</v>
      </c>
      <c r="H60">
        <v>293.82745098039209</v>
      </c>
      <c r="I60">
        <v>293.82745098039209</v>
      </c>
      <c r="J60">
        <v>294.98425196850388</v>
      </c>
      <c r="K60">
        <v>1344.6740558835479</v>
      </c>
      <c r="L60">
        <v>1343.101696432557</v>
      </c>
      <c r="M60">
        <v>1358.288771617729</v>
      </c>
      <c r="N60">
        <v>177</v>
      </c>
      <c r="O60">
        <v>190</v>
      </c>
      <c r="P60">
        <v>192</v>
      </c>
      <c r="Q60">
        <v>21682</v>
      </c>
      <c r="R60">
        <v>21657</v>
      </c>
      <c r="S60">
        <v>21857</v>
      </c>
      <c r="T60">
        <v>1</v>
      </c>
      <c r="U60">
        <v>1</v>
      </c>
      <c r="V60">
        <v>1</v>
      </c>
    </row>
    <row r="61" spans="1:22" x14ac:dyDescent="0.2">
      <c r="A61" s="1">
        <v>60</v>
      </c>
      <c r="B61">
        <v>364</v>
      </c>
      <c r="C61">
        <v>300</v>
      </c>
      <c r="D61">
        <v>361</v>
      </c>
      <c r="E61">
        <v>365</v>
      </c>
      <c r="F61">
        <v>301</v>
      </c>
      <c r="G61">
        <v>362</v>
      </c>
      <c r="H61">
        <v>205.42857142857139</v>
      </c>
      <c r="I61">
        <v>249.2533333333333</v>
      </c>
      <c r="J61">
        <v>207.13850415512471</v>
      </c>
      <c r="K61">
        <v>28.560560703628131</v>
      </c>
      <c r="L61">
        <v>119.7619258578151</v>
      </c>
      <c r="M61">
        <v>34.672718814342417</v>
      </c>
      <c r="N61">
        <v>180</v>
      </c>
      <c r="O61">
        <v>152</v>
      </c>
      <c r="P61">
        <v>160</v>
      </c>
      <c r="Q61">
        <v>491</v>
      </c>
      <c r="R61">
        <v>974</v>
      </c>
      <c r="S61">
        <v>488</v>
      </c>
      <c r="T61">
        <v>0</v>
      </c>
      <c r="U61">
        <v>0</v>
      </c>
      <c r="V61">
        <v>0</v>
      </c>
    </row>
    <row r="62" spans="1:22" x14ac:dyDescent="0.2">
      <c r="A62" s="1">
        <v>61</v>
      </c>
      <c r="B62">
        <v>327</v>
      </c>
      <c r="C62">
        <v>331</v>
      </c>
      <c r="D62">
        <v>340</v>
      </c>
      <c r="E62">
        <v>328</v>
      </c>
      <c r="F62">
        <v>332</v>
      </c>
      <c r="G62">
        <v>341</v>
      </c>
      <c r="H62">
        <v>209.48318042813449</v>
      </c>
      <c r="I62">
        <v>206.88821752265861</v>
      </c>
      <c r="J62">
        <v>201.39705882352939</v>
      </c>
      <c r="K62">
        <v>58.474672234407038</v>
      </c>
      <c r="L62">
        <v>43.768290169812488</v>
      </c>
      <c r="M62">
        <v>35.24417134424985</v>
      </c>
      <c r="N62">
        <v>151</v>
      </c>
      <c r="O62">
        <v>155</v>
      </c>
      <c r="P62">
        <v>152</v>
      </c>
      <c r="Q62">
        <v>1057</v>
      </c>
      <c r="R62">
        <v>532</v>
      </c>
      <c r="S62">
        <v>525</v>
      </c>
      <c r="T62">
        <v>1</v>
      </c>
      <c r="U62">
        <v>0</v>
      </c>
      <c r="V62">
        <v>0</v>
      </c>
    </row>
    <row r="63" spans="1:22" x14ac:dyDescent="0.2">
      <c r="A63" s="1">
        <v>62</v>
      </c>
      <c r="B63">
        <v>343</v>
      </c>
      <c r="C63">
        <v>296</v>
      </c>
      <c r="D63">
        <v>358</v>
      </c>
      <c r="E63">
        <v>344</v>
      </c>
      <c r="F63">
        <v>297</v>
      </c>
      <c r="G63">
        <v>359</v>
      </c>
      <c r="H63">
        <v>217.56851311953349</v>
      </c>
      <c r="I63">
        <v>252.1148648648649</v>
      </c>
      <c r="J63">
        <v>208.45251396648041</v>
      </c>
      <c r="K63">
        <v>134.26886855916001</v>
      </c>
      <c r="L63">
        <v>197.19870469711239</v>
      </c>
      <c r="M63">
        <v>120.0390773527583</v>
      </c>
      <c r="N63">
        <v>151</v>
      </c>
      <c r="O63">
        <v>151</v>
      </c>
      <c r="P63">
        <v>151</v>
      </c>
      <c r="Q63">
        <v>1583</v>
      </c>
      <c r="R63">
        <v>2687</v>
      </c>
      <c r="S63">
        <v>1605</v>
      </c>
      <c r="T63">
        <v>2</v>
      </c>
      <c r="U63">
        <v>3</v>
      </c>
      <c r="V63">
        <v>1</v>
      </c>
    </row>
    <row r="64" spans="1:22" x14ac:dyDescent="0.2">
      <c r="A64" s="1">
        <v>63</v>
      </c>
      <c r="B64">
        <v>233</v>
      </c>
      <c r="C64">
        <v>17</v>
      </c>
      <c r="D64">
        <v>285</v>
      </c>
      <c r="E64">
        <v>234</v>
      </c>
      <c r="F64">
        <v>18</v>
      </c>
      <c r="G64">
        <v>286</v>
      </c>
      <c r="H64">
        <v>289.6480686695279</v>
      </c>
      <c r="I64">
        <v>3702.882352941177</v>
      </c>
      <c r="J64">
        <v>236.79298245614041</v>
      </c>
      <c r="K64">
        <v>238.02699373896451</v>
      </c>
      <c r="L64">
        <v>3899.1564613765008</v>
      </c>
      <c r="M64">
        <v>145.77576338341461</v>
      </c>
      <c r="N64">
        <v>155</v>
      </c>
      <c r="O64">
        <v>241</v>
      </c>
      <c r="P64">
        <v>160</v>
      </c>
      <c r="Q64">
        <v>2329</v>
      </c>
      <c r="R64">
        <v>12512</v>
      </c>
      <c r="S64">
        <v>1576</v>
      </c>
      <c r="T64">
        <v>4</v>
      </c>
      <c r="U64">
        <v>10</v>
      </c>
      <c r="V64">
        <v>3</v>
      </c>
    </row>
    <row r="65" spans="1:22" x14ac:dyDescent="0.2">
      <c r="A65" s="1">
        <v>64</v>
      </c>
      <c r="B65">
        <v>326</v>
      </c>
      <c r="C65">
        <v>330</v>
      </c>
      <c r="D65">
        <v>71</v>
      </c>
      <c r="E65">
        <v>327</v>
      </c>
      <c r="F65">
        <v>331</v>
      </c>
      <c r="G65">
        <v>72</v>
      </c>
      <c r="H65">
        <v>229.2331288343558</v>
      </c>
      <c r="I65">
        <v>226.4545454545455</v>
      </c>
      <c r="J65">
        <v>1037.5915492957749</v>
      </c>
      <c r="K65">
        <v>51.613960014070997</v>
      </c>
      <c r="L65">
        <v>68.243659161494321</v>
      </c>
      <c r="M65">
        <v>1137.528305173292</v>
      </c>
      <c r="N65">
        <v>180</v>
      </c>
      <c r="O65">
        <v>164</v>
      </c>
      <c r="P65">
        <v>172</v>
      </c>
      <c r="Q65">
        <v>550</v>
      </c>
      <c r="R65">
        <v>842</v>
      </c>
      <c r="S65">
        <v>7792</v>
      </c>
      <c r="T65">
        <v>0</v>
      </c>
      <c r="U65">
        <v>0</v>
      </c>
      <c r="V65">
        <v>24</v>
      </c>
    </row>
    <row r="66" spans="1:22" x14ac:dyDescent="0.2">
      <c r="A66" s="1">
        <v>65</v>
      </c>
    </row>
    <row r="67" spans="1:22" x14ac:dyDescent="0.2">
      <c r="A67" s="1">
        <v>66</v>
      </c>
      <c r="B67">
        <v>335</v>
      </c>
      <c r="C67">
        <v>308</v>
      </c>
      <c r="D67">
        <v>318</v>
      </c>
      <c r="E67">
        <v>336</v>
      </c>
      <c r="F67">
        <v>309</v>
      </c>
      <c r="G67">
        <v>319</v>
      </c>
      <c r="H67">
        <v>223.53134328358209</v>
      </c>
      <c r="I67">
        <v>243.1233766233766</v>
      </c>
      <c r="J67">
        <v>235.48113207547169</v>
      </c>
      <c r="K67">
        <v>100.6975881249308</v>
      </c>
      <c r="L67">
        <v>177.63718203681759</v>
      </c>
      <c r="M67">
        <v>142.7169374971192</v>
      </c>
      <c r="N67">
        <v>151</v>
      </c>
      <c r="O67">
        <v>170</v>
      </c>
      <c r="P67">
        <v>174</v>
      </c>
      <c r="Q67">
        <v>1151</v>
      </c>
      <c r="R67">
        <v>1789</v>
      </c>
      <c r="S67">
        <v>1732</v>
      </c>
      <c r="T67">
        <v>1</v>
      </c>
      <c r="U67">
        <v>5</v>
      </c>
      <c r="V67">
        <v>4</v>
      </c>
    </row>
    <row r="68" spans="1:22" x14ac:dyDescent="0.2">
      <c r="A68" s="1">
        <v>67</v>
      </c>
    </row>
    <row r="69" spans="1:22" x14ac:dyDescent="0.2">
      <c r="A69" s="1">
        <v>68</v>
      </c>
      <c r="B69">
        <v>241</v>
      </c>
      <c r="C69">
        <v>239</v>
      </c>
      <c r="D69">
        <v>241</v>
      </c>
      <c r="E69">
        <v>242</v>
      </c>
      <c r="F69">
        <v>240</v>
      </c>
      <c r="G69">
        <v>242</v>
      </c>
      <c r="H69">
        <v>218.5352697095436</v>
      </c>
      <c r="I69">
        <v>220.35146443514651</v>
      </c>
      <c r="J69">
        <v>218.5352697095436</v>
      </c>
      <c r="K69">
        <v>16.457767949040161</v>
      </c>
      <c r="L69">
        <v>23.315922805022758</v>
      </c>
      <c r="M69">
        <v>16.40299136939521</v>
      </c>
      <c r="N69">
        <v>201</v>
      </c>
      <c r="O69">
        <v>201</v>
      </c>
      <c r="P69">
        <v>200</v>
      </c>
      <c r="Q69">
        <v>453</v>
      </c>
      <c r="R69">
        <v>448</v>
      </c>
      <c r="S69">
        <v>452</v>
      </c>
      <c r="T69">
        <v>0</v>
      </c>
      <c r="U69">
        <v>0</v>
      </c>
      <c r="V69">
        <v>0</v>
      </c>
    </row>
    <row r="70" spans="1:22" x14ac:dyDescent="0.2">
      <c r="A70" s="1">
        <v>69</v>
      </c>
      <c r="B70">
        <v>300</v>
      </c>
      <c r="C70">
        <v>329</v>
      </c>
      <c r="D70">
        <v>347</v>
      </c>
      <c r="E70">
        <v>301</v>
      </c>
      <c r="F70">
        <v>330</v>
      </c>
      <c r="G70">
        <v>348</v>
      </c>
      <c r="H70">
        <v>250.28</v>
      </c>
      <c r="I70">
        <v>228.17933130699089</v>
      </c>
      <c r="J70">
        <v>216.45244956772331</v>
      </c>
      <c r="K70">
        <v>89.523982325247573</v>
      </c>
      <c r="L70">
        <v>54.379773955075841</v>
      </c>
      <c r="M70">
        <v>24.38693181612318</v>
      </c>
      <c r="N70">
        <v>165</v>
      </c>
      <c r="O70">
        <v>165</v>
      </c>
      <c r="P70">
        <v>176</v>
      </c>
      <c r="Q70">
        <v>777</v>
      </c>
      <c r="R70">
        <v>518</v>
      </c>
      <c r="S70">
        <v>457</v>
      </c>
      <c r="T70">
        <v>0</v>
      </c>
      <c r="U70">
        <v>0</v>
      </c>
      <c r="V70">
        <v>0</v>
      </c>
    </row>
    <row r="71" spans="1:22" x14ac:dyDescent="0.2">
      <c r="A71" s="1">
        <v>70</v>
      </c>
      <c r="B71">
        <v>307</v>
      </c>
      <c r="C71">
        <v>281</v>
      </c>
      <c r="D71">
        <v>313</v>
      </c>
      <c r="E71">
        <v>308</v>
      </c>
      <c r="F71">
        <v>282</v>
      </c>
      <c r="G71">
        <v>314</v>
      </c>
      <c r="H71">
        <v>242.97394136807819</v>
      </c>
      <c r="I71">
        <v>265.37366548042712</v>
      </c>
      <c r="J71">
        <v>238.2555910543131</v>
      </c>
      <c r="K71">
        <v>36.4724711089602</v>
      </c>
      <c r="L71">
        <v>87.633444470307978</v>
      </c>
      <c r="M71">
        <v>10.91921863628983</v>
      </c>
      <c r="N71">
        <v>199</v>
      </c>
      <c r="O71">
        <v>159</v>
      </c>
      <c r="P71">
        <v>217</v>
      </c>
      <c r="Q71">
        <v>526</v>
      </c>
      <c r="R71">
        <v>703</v>
      </c>
      <c r="S71">
        <v>264</v>
      </c>
      <c r="T71">
        <v>0</v>
      </c>
      <c r="U71">
        <v>0</v>
      </c>
      <c r="V71">
        <v>0</v>
      </c>
    </row>
    <row r="72" spans="1:22" x14ac:dyDescent="0.2">
      <c r="A72" s="1">
        <v>71</v>
      </c>
      <c r="B72">
        <v>335</v>
      </c>
      <c r="C72">
        <v>336</v>
      </c>
      <c r="D72">
        <v>335</v>
      </c>
      <c r="E72">
        <v>336</v>
      </c>
      <c r="F72">
        <v>337</v>
      </c>
      <c r="G72">
        <v>336</v>
      </c>
      <c r="H72">
        <v>223.34029850746271</v>
      </c>
      <c r="I72">
        <v>222.67261904761901</v>
      </c>
      <c r="J72">
        <v>223.3373134328358</v>
      </c>
      <c r="K72">
        <v>22.164410565566811</v>
      </c>
      <c r="L72">
        <v>17.659295306779772</v>
      </c>
      <c r="M72">
        <v>21.48045230166489</v>
      </c>
      <c r="N72">
        <v>179</v>
      </c>
      <c r="O72">
        <v>195</v>
      </c>
      <c r="P72">
        <v>195</v>
      </c>
      <c r="Q72">
        <v>418</v>
      </c>
      <c r="R72">
        <v>411</v>
      </c>
      <c r="S72">
        <v>446</v>
      </c>
      <c r="T72">
        <v>0</v>
      </c>
      <c r="U72">
        <v>0</v>
      </c>
      <c r="V72">
        <v>0</v>
      </c>
    </row>
    <row r="73" spans="1:22" x14ac:dyDescent="0.2">
      <c r="A73" s="1">
        <v>72</v>
      </c>
      <c r="B73">
        <v>347</v>
      </c>
      <c r="C73">
        <v>341</v>
      </c>
      <c r="D73">
        <v>369</v>
      </c>
      <c r="E73">
        <v>348</v>
      </c>
      <c r="F73">
        <v>342</v>
      </c>
      <c r="G73">
        <v>370</v>
      </c>
      <c r="H73">
        <v>268.36887608069162</v>
      </c>
      <c r="I73">
        <v>271.77419354838707</v>
      </c>
      <c r="J73">
        <v>251.14905149051489</v>
      </c>
      <c r="K73">
        <v>118.5632045761626</v>
      </c>
      <c r="L73">
        <v>127.0590369138696</v>
      </c>
      <c r="M73">
        <v>84.130540423667313</v>
      </c>
      <c r="N73">
        <v>172</v>
      </c>
      <c r="O73">
        <v>187</v>
      </c>
      <c r="P73">
        <v>180</v>
      </c>
      <c r="Q73">
        <v>1274</v>
      </c>
      <c r="R73">
        <v>1252</v>
      </c>
      <c r="S73">
        <v>1148</v>
      </c>
      <c r="T73">
        <v>1</v>
      </c>
      <c r="U73">
        <v>3</v>
      </c>
      <c r="V73">
        <v>3</v>
      </c>
    </row>
    <row r="74" spans="1:22" x14ac:dyDescent="0.2">
      <c r="A74" s="1">
        <v>73</v>
      </c>
      <c r="B74">
        <v>340</v>
      </c>
      <c r="C74">
        <v>340</v>
      </c>
      <c r="D74">
        <v>340</v>
      </c>
      <c r="E74">
        <v>341</v>
      </c>
      <c r="F74">
        <v>341</v>
      </c>
      <c r="G74">
        <v>341</v>
      </c>
      <c r="H74">
        <v>219.5411764705882</v>
      </c>
      <c r="I74">
        <v>219.54411764705881</v>
      </c>
      <c r="J74">
        <v>219.5470588235294</v>
      </c>
      <c r="K74">
        <v>14.49833919177637</v>
      </c>
      <c r="L74">
        <v>14.48998619078456</v>
      </c>
      <c r="M74">
        <v>14.65757096534754</v>
      </c>
      <c r="N74">
        <v>187</v>
      </c>
      <c r="O74">
        <v>187</v>
      </c>
      <c r="P74">
        <v>182</v>
      </c>
      <c r="Q74">
        <v>260</v>
      </c>
      <c r="R74">
        <v>260</v>
      </c>
      <c r="S74">
        <v>260</v>
      </c>
      <c r="T74">
        <v>0</v>
      </c>
      <c r="U74">
        <v>0</v>
      </c>
      <c r="V74">
        <v>0</v>
      </c>
    </row>
    <row r="75" spans="1:22" x14ac:dyDescent="0.2">
      <c r="A75" s="1">
        <v>74</v>
      </c>
      <c r="B75">
        <v>94</v>
      </c>
      <c r="C75">
        <v>83</v>
      </c>
      <c r="D75">
        <v>87</v>
      </c>
      <c r="E75">
        <v>95</v>
      </c>
      <c r="F75">
        <v>84</v>
      </c>
      <c r="G75">
        <v>88</v>
      </c>
      <c r="H75">
        <v>240.55319148936169</v>
      </c>
      <c r="I75">
        <v>272.50602409638549</v>
      </c>
      <c r="J75">
        <v>259.93103448275861</v>
      </c>
      <c r="K75">
        <v>78.720632622315478</v>
      </c>
      <c r="L75">
        <v>169.26983606742249</v>
      </c>
      <c r="M75">
        <v>143.2834881594874</v>
      </c>
      <c r="N75">
        <v>160</v>
      </c>
      <c r="O75">
        <v>166</v>
      </c>
      <c r="P75">
        <v>159</v>
      </c>
      <c r="Q75">
        <v>686</v>
      </c>
      <c r="R75">
        <v>1342</v>
      </c>
      <c r="S75">
        <v>1124</v>
      </c>
      <c r="T75">
        <v>0</v>
      </c>
      <c r="U75">
        <v>2</v>
      </c>
      <c r="V75">
        <v>1</v>
      </c>
    </row>
    <row r="76" spans="1:22" x14ac:dyDescent="0.2">
      <c r="A76" s="1">
        <v>75</v>
      </c>
      <c r="B76">
        <v>81</v>
      </c>
      <c r="C76">
        <v>69</v>
      </c>
      <c r="D76">
        <v>82</v>
      </c>
      <c r="E76">
        <v>82</v>
      </c>
      <c r="F76">
        <v>70</v>
      </c>
      <c r="G76">
        <v>83</v>
      </c>
      <c r="H76">
        <v>862.77777777777783</v>
      </c>
      <c r="I76">
        <v>1011.927536231884</v>
      </c>
      <c r="J76">
        <v>851.5</v>
      </c>
      <c r="K76">
        <v>863.67511252785334</v>
      </c>
      <c r="L76">
        <v>1354.407112734101</v>
      </c>
      <c r="M76">
        <v>839.56267643000956</v>
      </c>
      <c r="N76">
        <v>170</v>
      </c>
      <c r="O76">
        <v>152</v>
      </c>
      <c r="P76">
        <v>153</v>
      </c>
      <c r="Q76">
        <v>4961</v>
      </c>
      <c r="R76">
        <v>9956</v>
      </c>
      <c r="S76">
        <v>4962</v>
      </c>
      <c r="T76">
        <v>21</v>
      </c>
      <c r="U76">
        <v>23</v>
      </c>
      <c r="V76">
        <v>21</v>
      </c>
    </row>
    <row r="77" spans="1:22" x14ac:dyDescent="0.2">
      <c r="A77" s="1">
        <v>76</v>
      </c>
    </row>
    <row r="78" spans="1:22" x14ac:dyDescent="0.2">
      <c r="A78" s="1">
        <v>77</v>
      </c>
      <c r="B78">
        <v>63</v>
      </c>
      <c r="C78">
        <v>43</v>
      </c>
      <c r="D78">
        <v>43</v>
      </c>
      <c r="E78">
        <v>64</v>
      </c>
      <c r="F78">
        <v>44</v>
      </c>
      <c r="G78">
        <v>44</v>
      </c>
      <c r="H78">
        <v>1183.6190476190479</v>
      </c>
      <c r="I78">
        <v>1734.1395348837209</v>
      </c>
      <c r="J78">
        <v>1734.1627906976739</v>
      </c>
      <c r="K78">
        <v>1509.1665017332971</v>
      </c>
      <c r="L78">
        <v>2151.0949103653652</v>
      </c>
      <c r="M78">
        <v>2279.5677632292341</v>
      </c>
      <c r="N78">
        <v>179</v>
      </c>
      <c r="O78">
        <v>186</v>
      </c>
      <c r="P78">
        <v>179</v>
      </c>
      <c r="Q78">
        <v>8342</v>
      </c>
      <c r="R78">
        <v>9954</v>
      </c>
      <c r="S78">
        <v>10478</v>
      </c>
      <c r="T78">
        <v>23</v>
      </c>
      <c r="U78">
        <v>19</v>
      </c>
      <c r="V78">
        <v>20</v>
      </c>
    </row>
    <row r="79" spans="1:22" x14ac:dyDescent="0.2">
      <c r="A79" s="1">
        <v>78</v>
      </c>
      <c r="B79">
        <v>120</v>
      </c>
      <c r="C79">
        <v>96</v>
      </c>
      <c r="D79">
        <v>65</v>
      </c>
      <c r="E79">
        <v>121</v>
      </c>
      <c r="F79">
        <v>97</v>
      </c>
      <c r="G79">
        <v>66</v>
      </c>
      <c r="H79">
        <v>496.52499999999998</v>
      </c>
      <c r="I79">
        <v>623.48958333333337</v>
      </c>
      <c r="J79">
        <v>910.2</v>
      </c>
      <c r="K79">
        <v>441.74565788528611</v>
      </c>
      <c r="L79">
        <v>556.20410859383867</v>
      </c>
      <c r="M79">
        <v>699.94042603638775</v>
      </c>
      <c r="N79">
        <v>164</v>
      </c>
      <c r="O79">
        <v>183</v>
      </c>
      <c r="P79">
        <v>167</v>
      </c>
      <c r="Q79">
        <v>2343</v>
      </c>
      <c r="R79">
        <v>3173</v>
      </c>
      <c r="S79">
        <v>3175</v>
      </c>
      <c r="T79">
        <v>15</v>
      </c>
      <c r="U79">
        <v>16</v>
      </c>
      <c r="V79">
        <v>22</v>
      </c>
    </row>
    <row r="80" spans="1:22" x14ac:dyDescent="0.2">
      <c r="A80" s="1">
        <v>79</v>
      </c>
      <c r="B80">
        <v>186</v>
      </c>
      <c r="C80">
        <v>168</v>
      </c>
      <c r="D80">
        <v>177</v>
      </c>
      <c r="E80">
        <v>187</v>
      </c>
      <c r="F80">
        <v>169</v>
      </c>
      <c r="G80">
        <v>178</v>
      </c>
      <c r="H80">
        <v>290.90860215053772</v>
      </c>
      <c r="I80">
        <v>322.08928571428572</v>
      </c>
      <c r="J80">
        <v>305.70056497175142</v>
      </c>
      <c r="K80">
        <v>806.51842842247709</v>
      </c>
      <c r="L80">
        <v>855.4214343256067</v>
      </c>
      <c r="M80">
        <v>832.99360581532949</v>
      </c>
      <c r="N80">
        <v>168</v>
      </c>
      <c r="O80">
        <v>186</v>
      </c>
      <c r="P80">
        <v>188</v>
      </c>
      <c r="Q80">
        <v>11198</v>
      </c>
      <c r="R80">
        <v>11198</v>
      </c>
      <c r="S80">
        <v>11198</v>
      </c>
      <c r="T80">
        <v>1</v>
      </c>
      <c r="U80">
        <v>2</v>
      </c>
      <c r="V80">
        <v>3</v>
      </c>
    </row>
    <row r="81" spans="1:22" x14ac:dyDescent="0.2">
      <c r="A81" s="1">
        <v>80</v>
      </c>
      <c r="B81">
        <v>179</v>
      </c>
      <c r="C81">
        <v>132</v>
      </c>
      <c r="D81">
        <v>151</v>
      </c>
      <c r="E81">
        <v>180</v>
      </c>
      <c r="F81">
        <v>133</v>
      </c>
      <c r="G81">
        <v>152</v>
      </c>
      <c r="H81">
        <v>272.36871508379892</v>
      </c>
      <c r="I81">
        <v>370.70454545454538</v>
      </c>
      <c r="J81">
        <v>324.07284768211917</v>
      </c>
      <c r="K81">
        <v>884.83122133642553</v>
      </c>
      <c r="L81">
        <v>1031.9271657433139</v>
      </c>
      <c r="M81">
        <v>967.38185565878609</v>
      </c>
      <c r="N81">
        <v>151</v>
      </c>
      <c r="O81">
        <v>152</v>
      </c>
      <c r="P81">
        <v>151</v>
      </c>
      <c r="Q81">
        <v>12025</v>
      </c>
      <c r="R81">
        <v>12020</v>
      </c>
      <c r="S81">
        <v>12054</v>
      </c>
      <c r="T81">
        <v>1</v>
      </c>
      <c r="U81">
        <v>1</v>
      </c>
      <c r="V81">
        <v>1</v>
      </c>
    </row>
    <row r="82" spans="1:22" x14ac:dyDescent="0.2">
      <c r="A82" s="1">
        <v>81</v>
      </c>
      <c r="B82">
        <v>161</v>
      </c>
      <c r="C82">
        <v>155</v>
      </c>
      <c r="D82">
        <v>157</v>
      </c>
      <c r="E82">
        <v>162</v>
      </c>
      <c r="F82">
        <v>156</v>
      </c>
      <c r="G82">
        <v>158</v>
      </c>
      <c r="H82">
        <v>256.29813664596281</v>
      </c>
      <c r="I82">
        <v>266.10322580645158</v>
      </c>
      <c r="J82">
        <v>262.70700636942678</v>
      </c>
      <c r="K82">
        <v>71.786388396451656</v>
      </c>
      <c r="L82">
        <v>96.624267218440664</v>
      </c>
      <c r="M82">
        <v>92.505665879592925</v>
      </c>
      <c r="N82">
        <v>196</v>
      </c>
      <c r="O82">
        <v>202</v>
      </c>
      <c r="P82">
        <v>184</v>
      </c>
      <c r="Q82">
        <v>815</v>
      </c>
      <c r="R82">
        <v>1084</v>
      </c>
      <c r="S82">
        <v>1083</v>
      </c>
      <c r="T82">
        <v>0</v>
      </c>
      <c r="U82">
        <v>1</v>
      </c>
      <c r="V82">
        <v>1</v>
      </c>
    </row>
    <row r="83" spans="1:22" x14ac:dyDescent="0.2">
      <c r="A83" s="1">
        <v>82</v>
      </c>
      <c r="B83">
        <v>343</v>
      </c>
      <c r="C83">
        <v>345</v>
      </c>
      <c r="D83">
        <v>268</v>
      </c>
      <c r="E83">
        <v>285</v>
      </c>
      <c r="F83">
        <v>346</v>
      </c>
      <c r="G83">
        <v>223</v>
      </c>
      <c r="H83">
        <v>218.60349854227411</v>
      </c>
      <c r="I83">
        <v>217.33043478260871</v>
      </c>
      <c r="J83">
        <v>278.34701492537312</v>
      </c>
      <c r="K83">
        <v>17.412276018529731</v>
      </c>
      <c r="L83">
        <v>7.6698462801791107</v>
      </c>
      <c r="M83">
        <v>95.912154088610578</v>
      </c>
      <c r="N83">
        <v>197</v>
      </c>
      <c r="O83">
        <v>190</v>
      </c>
      <c r="P83">
        <v>151</v>
      </c>
      <c r="Q83">
        <v>436</v>
      </c>
      <c r="R83">
        <v>239</v>
      </c>
      <c r="S83">
        <v>883</v>
      </c>
      <c r="T83">
        <v>0</v>
      </c>
      <c r="U83">
        <v>0</v>
      </c>
      <c r="V83">
        <v>0</v>
      </c>
    </row>
    <row r="84" spans="1:22" x14ac:dyDescent="0.2">
      <c r="A84" s="1">
        <v>83</v>
      </c>
    </row>
    <row r="85" spans="1:22" x14ac:dyDescent="0.2">
      <c r="A85" s="1">
        <v>84</v>
      </c>
      <c r="B85">
        <v>345</v>
      </c>
      <c r="C85">
        <v>345</v>
      </c>
      <c r="D85">
        <v>327</v>
      </c>
      <c r="E85">
        <v>346</v>
      </c>
      <c r="F85">
        <v>346</v>
      </c>
      <c r="G85">
        <v>328</v>
      </c>
      <c r="H85">
        <v>216.7913043478261</v>
      </c>
      <c r="I85">
        <v>216.78840579710149</v>
      </c>
      <c r="J85">
        <v>228.7247706422018</v>
      </c>
      <c r="K85">
        <v>12.603637108068069</v>
      </c>
      <c r="L85">
        <v>12.508549822903509</v>
      </c>
      <c r="M85">
        <v>92.545018548556996</v>
      </c>
      <c r="N85">
        <v>193</v>
      </c>
      <c r="O85">
        <v>192</v>
      </c>
      <c r="P85">
        <v>174</v>
      </c>
      <c r="Q85">
        <v>267</v>
      </c>
      <c r="R85">
        <v>268</v>
      </c>
      <c r="S85">
        <v>1344</v>
      </c>
      <c r="T85">
        <v>0</v>
      </c>
      <c r="U85">
        <v>0</v>
      </c>
      <c r="V85">
        <v>2</v>
      </c>
    </row>
    <row r="86" spans="1:22" x14ac:dyDescent="0.2">
      <c r="A86" s="1">
        <v>85</v>
      </c>
      <c r="B86">
        <v>259</v>
      </c>
      <c r="C86">
        <v>259</v>
      </c>
      <c r="D86">
        <v>259</v>
      </c>
      <c r="E86">
        <v>260</v>
      </c>
      <c r="F86">
        <v>260</v>
      </c>
      <c r="G86">
        <v>260</v>
      </c>
      <c r="H86">
        <v>202.9111969111969</v>
      </c>
      <c r="I86">
        <v>202.9150579150579</v>
      </c>
      <c r="J86">
        <v>202.9150579150579</v>
      </c>
      <c r="K86">
        <v>16.09070191435832</v>
      </c>
      <c r="L86">
        <v>15.964122963468959</v>
      </c>
      <c r="M86">
        <v>15.946389262773209</v>
      </c>
      <c r="N86">
        <v>158</v>
      </c>
      <c r="O86">
        <v>174</v>
      </c>
      <c r="P86">
        <v>174</v>
      </c>
      <c r="Q86">
        <v>248</v>
      </c>
      <c r="R86">
        <v>249</v>
      </c>
      <c r="S86">
        <v>248</v>
      </c>
      <c r="T86">
        <v>0</v>
      </c>
      <c r="U86">
        <v>0</v>
      </c>
      <c r="V86">
        <v>0</v>
      </c>
    </row>
    <row r="87" spans="1:22" x14ac:dyDescent="0.2">
      <c r="A87" s="1">
        <v>86</v>
      </c>
      <c r="B87">
        <v>333</v>
      </c>
      <c r="C87">
        <v>345</v>
      </c>
      <c r="D87">
        <v>344</v>
      </c>
      <c r="E87">
        <v>334</v>
      </c>
      <c r="F87">
        <v>346</v>
      </c>
      <c r="G87">
        <v>345</v>
      </c>
      <c r="H87">
        <v>223.30630630630631</v>
      </c>
      <c r="I87">
        <v>216.7971014492754</v>
      </c>
      <c r="J87">
        <v>217.42732558139531</v>
      </c>
      <c r="K87">
        <v>47.963865564294849</v>
      </c>
      <c r="L87">
        <v>18.97809302405788</v>
      </c>
      <c r="M87">
        <v>22.191334895182191</v>
      </c>
      <c r="N87">
        <v>157</v>
      </c>
      <c r="O87">
        <v>187</v>
      </c>
      <c r="P87">
        <v>163</v>
      </c>
      <c r="Q87">
        <v>639</v>
      </c>
      <c r="R87">
        <v>275</v>
      </c>
      <c r="S87">
        <v>424</v>
      </c>
      <c r="T87">
        <v>0</v>
      </c>
      <c r="U87">
        <v>0</v>
      </c>
      <c r="V87">
        <v>0</v>
      </c>
    </row>
    <row r="88" spans="1:22" x14ac:dyDescent="0.2">
      <c r="A88" s="1">
        <v>87</v>
      </c>
      <c r="B88">
        <v>70</v>
      </c>
      <c r="C88">
        <v>89</v>
      </c>
      <c r="D88">
        <v>66</v>
      </c>
      <c r="E88">
        <v>71</v>
      </c>
      <c r="F88">
        <v>90</v>
      </c>
      <c r="G88">
        <v>67</v>
      </c>
      <c r="H88">
        <v>1034.5999999999999</v>
      </c>
      <c r="I88">
        <v>813.7303370786517</v>
      </c>
      <c r="J88">
        <v>1097.30303030303</v>
      </c>
      <c r="K88">
        <v>1040.641989698973</v>
      </c>
      <c r="L88">
        <v>809.42957978899256</v>
      </c>
      <c r="M88">
        <v>1092.586148262594</v>
      </c>
      <c r="N88">
        <v>170</v>
      </c>
      <c r="O88">
        <v>164</v>
      </c>
      <c r="P88">
        <v>170</v>
      </c>
      <c r="Q88">
        <v>5920</v>
      </c>
      <c r="R88">
        <v>4861</v>
      </c>
      <c r="S88">
        <v>5917</v>
      </c>
      <c r="T88">
        <v>26</v>
      </c>
      <c r="U88">
        <v>23</v>
      </c>
      <c r="V88">
        <v>25</v>
      </c>
    </row>
    <row r="89" spans="1:22" x14ac:dyDescent="0.2">
      <c r="A89" s="1">
        <v>88</v>
      </c>
      <c r="B89">
        <v>60</v>
      </c>
      <c r="C89">
        <v>54</v>
      </c>
      <c r="D89">
        <v>60</v>
      </c>
      <c r="E89">
        <v>55</v>
      </c>
      <c r="F89">
        <v>55</v>
      </c>
      <c r="G89">
        <v>55</v>
      </c>
      <c r="H89">
        <v>226.3666666666667</v>
      </c>
      <c r="I89">
        <v>226.94444444444451</v>
      </c>
      <c r="J89">
        <v>226.35</v>
      </c>
      <c r="K89">
        <v>16.495471044251861</v>
      </c>
      <c r="L89">
        <v>17.060841920726691</v>
      </c>
      <c r="M89">
        <v>16.458293463443091</v>
      </c>
      <c r="N89">
        <v>200</v>
      </c>
      <c r="O89">
        <v>200</v>
      </c>
      <c r="P89">
        <v>200</v>
      </c>
      <c r="Q89">
        <v>284</v>
      </c>
      <c r="R89">
        <v>284</v>
      </c>
      <c r="S89">
        <v>284</v>
      </c>
      <c r="T89">
        <v>0</v>
      </c>
      <c r="U89">
        <v>0</v>
      </c>
      <c r="V89">
        <v>0</v>
      </c>
    </row>
    <row r="90" spans="1:22" x14ac:dyDescent="0.2">
      <c r="A90" s="1">
        <v>89</v>
      </c>
      <c r="B90">
        <v>326</v>
      </c>
      <c r="C90">
        <v>326</v>
      </c>
      <c r="D90">
        <v>203</v>
      </c>
      <c r="E90">
        <v>327</v>
      </c>
      <c r="F90">
        <v>327</v>
      </c>
      <c r="G90">
        <v>204</v>
      </c>
      <c r="H90">
        <v>229.25460122699391</v>
      </c>
      <c r="I90">
        <v>229.2484662576687</v>
      </c>
      <c r="J90">
        <v>368.01477832512307</v>
      </c>
      <c r="K90">
        <v>41.692422041501082</v>
      </c>
      <c r="L90">
        <v>40.843222740061087</v>
      </c>
      <c r="M90">
        <v>186.0259876935252</v>
      </c>
      <c r="N90">
        <v>183</v>
      </c>
      <c r="O90">
        <v>188</v>
      </c>
      <c r="P90">
        <v>151</v>
      </c>
      <c r="Q90">
        <v>795</v>
      </c>
      <c r="R90">
        <v>731</v>
      </c>
      <c r="S90">
        <v>1456</v>
      </c>
      <c r="T90">
        <v>0</v>
      </c>
      <c r="U90">
        <v>0</v>
      </c>
      <c r="V90">
        <v>3</v>
      </c>
    </row>
    <row r="91" spans="1:22" x14ac:dyDescent="0.2">
      <c r="A91" s="1">
        <v>90</v>
      </c>
      <c r="B91">
        <v>544</v>
      </c>
      <c r="C91">
        <v>525</v>
      </c>
      <c r="D91">
        <v>214</v>
      </c>
      <c r="E91">
        <v>545</v>
      </c>
      <c r="F91">
        <v>526</v>
      </c>
      <c r="G91">
        <v>215</v>
      </c>
      <c r="H91">
        <v>236.52573529411771</v>
      </c>
      <c r="I91">
        <v>244.24190476190469</v>
      </c>
      <c r="J91">
        <v>588.6121495327103</v>
      </c>
      <c r="K91">
        <v>23.380102025634219</v>
      </c>
      <c r="L91">
        <v>65.652716293161106</v>
      </c>
      <c r="M91">
        <v>1893.3933330543109</v>
      </c>
      <c r="N91">
        <v>194</v>
      </c>
      <c r="O91">
        <v>198</v>
      </c>
      <c r="P91">
        <v>188</v>
      </c>
      <c r="Q91">
        <v>426</v>
      </c>
      <c r="R91">
        <v>1091</v>
      </c>
      <c r="S91">
        <v>26127</v>
      </c>
      <c r="T91">
        <v>0</v>
      </c>
      <c r="U91">
        <v>1</v>
      </c>
      <c r="V91">
        <v>19</v>
      </c>
    </row>
    <row r="93" spans="1:22" x14ac:dyDescent="0.2">
      <c r="H93">
        <f>MEDIAN(H2:H91)</f>
        <v>232.52826693310021</v>
      </c>
      <c r="I93">
        <f t="shared" ref="I93:J93" si="0">MEDIAN(I2:I91)</f>
        <v>242.33598642457866</v>
      </c>
      <c r="J93">
        <f t="shared" si="0"/>
        <v>234.87806603773583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V94"/>
  <sheetViews>
    <sheetView topLeftCell="A57" workbookViewId="0">
      <selection activeCell="M98" sqref="M98"/>
    </sheetView>
  </sheetViews>
  <sheetFormatPr baseColWidth="10" defaultColWidth="8.83203125" defaultRowHeight="15" x14ac:dyDescent="0.2"/>
  <sheetData>
    <row r="1" spans="1:22" x14ac:dyDescent="0.2">
      <c r="A1" s="1" t="s">
        <v>42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87</v>
      </c>
      <c r="C2">
        <v>94</v>
      </c>
      <c r="D2">
        <v>81</v>
      </c>
      <c r="E2">
        <v>88</v>
      </c>
      <c r="F2">
        <v>95</v>
      </c>
      <c r="G2">
        <v>82</v>
      </c>
      <c r="H2">
        <v>536.37931034482756</v>
      </c>
      <c r="I2">
        <v>542</v>
      </c>
      <c r="J2">
        <v>623.69135802469134</v>
      </c>
      <c r="K2">
        <v>763.89067221811558</v>
      </c>
      <c r="L2">
        <v>689.68922407592515</v>
      </c>
      <c r="M2">
        <v>1329.695544494823</v>
      </c>
      <c r="N2">
        <v>251</v>
      </c>
      <c r="O2">
        <v>224</v>
      </c>
      <c r="P2">
        <v>199</v>
      </c>
      <c r="Q2">
        <v>5312</v>
      </c>
      <c r="R2">
        <v>5932</v>
      </c>
      <c r="S2">
        <v>10083</v>
      </c>
      <c r="T2">
        <v>4</v>
      </c>
      <c r="U2">
        <v>8</v>
      </c>
      <c r="V2">
        <v>4</v>
      </c>
    </row>
    <row r="3" spans="1:22" x14ac:dyDescent="0.2">
      <c r="A3" s="1">
        <v>2</v>
      </c>
      <c r="B3">
        <v>201</v>
      </c>
      <c r="C3">
        <v>201</v>
      </c>
      <c r="D3">
        <v>201</v>
      </c>
      <c r="E3">
        <v>202</v>
      </c>
      <c r="F3">
        <v>202</v>
      </c>
      <c r="G3">
        <v>202</v>
      </c>
      <c r="H3">
        <v>370.85074626865668</v>
      </c>
      <c r="I3">
        <v>370.84577114427861</v>
      </c>
      <c r="J3">
        <v>370.85074626865668</v>
      </c>
      <c r="K3">
        <v>31.785493734411268</v>
      </c>
      <c r="L3">
        <v>30.204819061324681</v>
      </c>
      <c r="M3">
        <v>30.406703404681981</v>
      </c>
      <c r="N3">
        <v>289</v>
      </c>
      <c r="O3">
        <v>311</v>
      </c>
      <c r="P3">
        <v>307</v>
      </c>
      <c r="Q3">
        <v>458</v>
      </c>
      <c r="R3">
        <v>459</v>
      </c>
      <c r="S3">
        <v>458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326</v>
      </c>
      <c r="C8">
        <v>66</v>
      </c>
      <c r="D8">
        <v>319</v>
      </c>
      <c r="E8">
        <v>205</v>
      </c>
      <c r="F8">
        <v>104</v>
      </c>
      <c r="G8">
        <v>376</v>
      </c>
      <c r="H8">
        <v>37463.898773006127</v>
      </c>
      <c r="I8">
        <v>455.45454545454538</v>
      </c>
      <c r="J8">
        <v>37938.485893416932</v>
      </c>
      <c r="K8">
        <v>21554.255614337111</v>
      </c>
      <c r="L8">
        <v>121.356966370758</v>
      </c>
      <c r="M8">
        <v>21533.644623678749</v>
      </c>
      <c r="N8">
        <v>353</v>
      </c>
      <c r="O8">
        <v>172</v>
      </c>
      <c r="P8">
        <v>273</v>
      </c>
      <c r="Q8">
        <v>75014</v>
      </c>
      <c r="R8">
        <v>972</v>
      </c>
      <c r="S8">
        <v>75006</v>
      </c>
      <c r="T8">
        <v>323</v>
      </c>
      <c r="U8">
        <v>0</v>
      </c>
      <c r="V8">
        <v>315</v>
      </c>
    </row>
    <row r="9" spans="1:22" x14ac:dyDescent="0.2">
      <c r="A9" s="1">
        <v>8</v>
      </c>
      <c r="B9">
        <v>133</v>
      </c>
      <c r="C9">
        <v>90</v>
      </c>
      <c r="D9">
        <v>93</v>
      </c>
      <c r="E9">
        <v>134</v>
      </c>
      <c r="F9">
        <v>91</v>
      </c>
      <c r="G9">
        <v>94</v>
      </c>
      <c r="H9">
        <v>554.97744360902254</v>
      </c>
      <c r="I9">
        <v>825.8</v>
      </c>
      <c r="J9">
        <v>797.3440860215054</v>
      </c>
      <c r="K9">
        <v>557.85300640946821</v>
      </c>
      <c r="L9">
        <v>784.61967026470347</v>
      </c>
      <c r="M9">
        <v>823.54990470237863</v>
      </c>
      <c r="N9">
        <v>173</v>
      </c>
      <c r="O9">
        <v>212</v>
      </c>
      <c r="P9">
        <v>192</v>
      </c>
      <c r="Q9">
        <v>4479</v>
      </c>
      <c r="R9">
        <v>4374</v>
      </c>
      <c r="S9">
        <v>5473</v>
      </c>
      <c r="T9">
        <v>9</v>
      </c>
      <c r="U9">
        <v>22</v>
      </c>
      <c r="V9">
        <v>20</v>
      </c>
    </row>
    <row r="10" spans="1:22" x14ac:dyDescent="0.2">
      <c r="A10" s="1">
        <v>9</v>
      </c>
      <c r="B10">
        <v>80</v>
      </c>
      <c r="C10">
        <v>46</v>
      </c>
      <c r="D10">
        <v>80</v>
      </c>
      <c r="E10">
        <v>81</v>
      </c>
      <c r="F10">
        <v>47</v>
      </c>
      <c r="G10">
        <v>81</v>
      </c>
      <c r="H10">
        <v>341.61250000000001</v>
      </c>
      <c r="I10">
        <v>485.30434782608688</v>
      </c>
      <c r="J10">
        <v>341.625</v>
      </c>
      <c r="K10">
        <v>38.388913797236377</v>
      </c>
      <c r="L10">
        <v>473.70937501877279</v>
      </c>
      <c r="M10">
        <v>33.354397353044916</v>
      </c>
      <c r="N10">
        <v>208</v>
      </c>
      <c r="O10">
        <v>188</v>
      </c>
      <c r="P10">
        <v>274</v>
      </c>
      <c r="Q10">
        <v>447</v>
      </c>
      <c r="R10">
        <v>2128</v>
      </c>
      <c r="S10">
        <v>425</v>
      </c>
      <c r="T10">
        <v>0</v>
      </c>
      <c r="U10">
        <v>4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C14">
        <v>10</v>
      </c>
      <c r="D14">
        <v>25</v>
      </c>
      <c r="F14">
        <v>11</v>
      </c>
      <c r="G14">
        <v>26</v>
      </c>
      <c r="I14">
        <v>3067.1</v>
      </c>
      <c r="J14">
        <v>1645.28</v>
      </c>
      <c r="L14">
        <v>2616.3202934231458</v>
      </c>
      <c r="M14">
        <v>1701.0902268839241</v>
      </c>
      <c r="O14">
        <v>172</v>
      </c>
      <c r="P14">
        <v>199</v>
      </c>
      <c r="R14">
        <v>7050</v>
      </c>
      <c r="S14">
        <v>8571</v>
      </c>
      <c r="U14">
        <v>7</v>
      </c>
      <c r="V14">
        <v>16</v>
      </c>
    </row>
    <row r="15" spans="1:22" x14ac:dyDescent="0.2">
      <c r="A15" s="1">
        <v>14</v>
      </c>
      <c r="B15">
        <v>195</v>
      </c>
      <c r="C15">
        <v>195</v>
      </c>
      <c r="D15">
        <v>11</v>
      </c>
      <c r="E15">
        <v>196</v>
      </c>
      <c r="F15">
        <v>196</v>
      </c>
      <c r="G15">
        <v>12</v>
      </c>
      <c r="H15">
        <v>381.83076923076919</v>
      </c>
      <c r="I15">
        <v>381.83076923076919</v>
      </c>
      <c r="J15">
        <v>5141.090909090909</v>
      </c>
      <c r="K15">
        <v>38.674521794111072</v>
      </c>
      <c r="L15">
        <v>38.727265721065002</v>
      </c>
      <c r="M15">
        <v>5227.7745256379503</v>
      </c>
      <c r="N15">
        <v>309</v>
      </c>
      <c r="O15">
        <v>311</v>
      </c>
      <c r="P15">
        <v>201</v>
      </c>
      <c r="Q15">
        <v>505</v>
      </c>
      <c r="R15">
        <v>506</v>
      </c>
      <c r="S15">
        <v>16996</v>
      </c>
      <c r="T15">
        <v>0</v>
      </c>
      <c r="U15">
        <v>0</v>
      </c>
      <c r="V15">
        <v>8</v>
      </c>
    </row>
    <row r="16" spans="1:22" x14ac:dyDescent="0.2">
      <c r="A16" s="1">
        <v>15</v>
      </c>
    </row>
    <row r="17" spans="1:22" x14ac:dyDescent="0.2">
      <c r="A17" s="1">
        <v>16</v>
      </c>
      <c r="B17">
        <v>252</v>
      </c>
      <c r="C17">
        <v>252</v>
      </c>
      <c r="D17">
        <v>252</v>
      </c>
      <c r="E17">
        <v>253</v>
      </c>
      <c r="F17">
        <v>253</v>
      </c>
      <c r="G17">
        <v>253</v>
      </c>
      <c r="H17">
        <v>296.58730158730162</v>
      </c>
      <c r="I17">
        <v>296.58730158730162</v>
      </c>
      <c r="J17">
        <v>296.57936507936512</v>
      </c>
      <c r="K17">
        <v>34.575806165184737</v>
      </c>
      <c r="L17">
        <v>36.926926838789178</v>
      </c>
      <c r="M17">
        <v>39.140232747335418</v>
      </c>
      <c r="N17">
        <v>216</v>
      </c>
      <c r="O17">
        <v>192</v>
      </c>
      <c r="P17">
        <v>188</v>
      </c>
      <c r="Q17">
        <v>412</v>
      </c>
      <c r="R17">
        <v>578</v>
      </c>
      <c r="S17">
        <v>578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210</v>
      </c>
      <c r="C19">
        <v>210</v>
      </c>
      <c r="D19">
        <v>210</v>
      </c>
      <c r="E19">
        <v>211</v>
      </c>
      <c r="F19">
        <v>211</v>
      </c>
      <c r="G19">
        <v>211</v>
      </c>
      <c r="H19">
        <v>356</v>
      </c>
      <c r="I19">
        <v>355.99523809523811</v>
      </c>
      <c r="J19">
        <v>355.99047619047622</v>
      </c>
      <c r="K19">
        <v>36.166414936761292</v>
      </c>
      <c r="L19">
        <v>37.549520428266462</v>
      </c>
      <c r="M19">
        <v>38.291877094846093</v>
      </c>
      <c r="N19">
        <v>168</v>
      </c>
      <c r="O19">
        <v>173</v>
      </c>
      <c r="P19">
        <v>162</v>
      </c>
      <c r="Q19">
        <v>484</v>
      </c>
      <c r="R19">
        <v>490</v>
      </c>
      <c r="S19">
        <v>478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32</v>
      </c>
      <c r="C23">
        <v>32</v>
      </c>
      <c r="D23">
        <v>26</v>
      </c>
      <c r="E23">
        <v>33</v>
      </c>
      <c r="F23">
        <v>33</v>
      </c>
      <c r="G23">
        <v>27</v>
      </c>
      <c r="H23">
        <v>382.84375</v>
      </c>
      <c r="I23">
        <v>382.875</v>
      </c>
      <c r="J23">
        <v>460.03846153846149</v>
      </c>
      <c r="K23">
        <v>30.382623827529471</v>
      </c>
      <c r="L23">
        <v>29.359561832012101</v>
      </c>
      <c r="M23">
        <v>256.04085311047231</v>
      </c>
      <c r="N23">
        <v>331</v>
      </c>
      <c r="O23">
        <v>330</v>
      </c>
      <c r="P23">
        <v>203</v>
      </c>
      <c r="Q23">
        <v>452</v>
      </c>
      <c r="R23">
        <v>429</v>
      </c>
      <c r="S23">
        <v>1189</v>
      </c>
      <c r="T23">
        <v>0</v>
      </c>
      <c r="U23">
        <v>0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156</v>
      </c>
      <c r="C25">
        <v>154</v>
      </c>
      <c r="D25">
        <v>72</v>
      </c>
      <c r="E25">
        <v>157</v>
      </c>
      <c r="F25">
        <v>155</v>
      </c>
      <c r="G25">
        <v>73</v>
      </c>
      <c r="H25">
        <v>479.5128205128205</v>
      </c>
      <c r="I25">
        <v>485.95454545454538</v>
      </c>
      <c r="J25">
        <v>1027.5555555555561</v>
      </c>
      <c r="K25">
        <v>326.53953941646319</v>
      </c>
      <c r="L25">
        <v>363.63745755183061</v>
      </c>
      <c r="M25">
        <v>979.45696206218349</v>
      </c>
      <c r="N25">
        <v>241</v>
      </c>
      <c r="O25">
        <v>160</v>
      </c>
      <c r="P25">
        <v>180</v>
      </c>
      <c r="Q25">
        <v>2936</v>
      </c>
      <c r="R25">
        <v>3357</v>
      </c>
      <c r="S25">
        <v>4927</v>
      </c>
      <c r="T25">
        <v>7</v>
      </c>
      <c r="U25">
        <v>11</v>
      </c>
      <c r="V25">
        <v>23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21</v>
      </c>
      <c r="C31">
        <v>20</v>
      </c>
      <c r="D31">
        <v>19</v>
      </c>
      <c r="E31">
        <v>22</v>
      </c>
      <c r="F31">
        <v>21</v>
      </c>
      <c r="G31">
        <v>20</v>
      </c>
      <c r="H31">
        <v>356.14285714285722</v>
      </c>
      <c r="I31">
        <v>373.95</v>
      </c>
      <c r="J31">
        <v>393.63157894736838</v>
      </c>
      <c r="K31">
        <v>76.88581515096638</v>
      </c>
      <c r="L31">
        <v>117.19101591216931</v>
      </c>
      <c r="M31">
        <v>223.70720212076711</v>
      </c>
      <c r="N31">
        <v>304</v>
      </c>
      <c r="O31">
        <v>229</v>
      </c>
      <c r="P31">
        <v>182</v>
      </c>
      <c r="Q31">
        <v>677</v>
      </c>
      <c r="R31">
        <v>704</v>
      </c>
      <c r="S31">
        <v>1080</v>
      </c>
      <c r="T31">
        <v>0</v>
      </c>
      <c r="U31">
        <v>0</v>
      </c>
      <c r="V31">
        <v>1</v>
      </c>
    </row>
    <row r="32" spans="1:22" x14ac:dyDescent="0.2">
      <c r="A32" s="1">
        <v>31</v>
      </c>
      <c r="B32">
        <v>195</v>
      </c>
      <c r="C32">
        <v>213</v>
      </c>
      <c r="D32">
        <v>65</v>
      </c>
      <c r="E32">
        <v>196</v>
      </c>
      <c r="F32">
        <v>214</v>
      </c>
      <c r="G32">
        <v>66</v>
      </c>
      <c r="H32">
        <v>379.68717948717949</v>
      </c>
      <c r="I32">
        <v>345.56807511737088</v>
      </c>
      <c r="J32">
        <v>1106.830769230769</v>
      </c>
      <c r="K32">
        <v>174.4873480473631</v>
      </c>
      <c r="L32">
        <v>94.067375064184873</v>
      </c>
      <c r="M32">
        <v>1640.730235379498</v>
      </c>
      <c r="N32">
        <v>192</v>
      </c>
      <c r="O32">
        <v>155</v>
      </c>
      <c r="P32">
        <v>155</v>
      </c>
      <c r="Q32">
        <v>1668</v>
      </c>
      <c r="R32">
        <v>1640</v>
      </c>
      <c r="S32">
        <v>9333</v>
      </c>
      <c r="T32">
        <v>3</v>
      </c>
      <c r="U32">
        <v>1</v>
      </c>
      <c r="V32">
        <v>21</v>
      </c>
    </row>
    <row r="33" spans="1:22" x14ac:dyDescent="0.2">
      <c r="A33" s="1">
        <v>32</v>
      </c>
    </row>
    <row r="34" spans="1:22" x14ac:dyDescent="0.2">
      <c r="A34" s="1">
        <v>33</v>
      </c>
      <c r="B34">
        <v>93</v>
      </c>
      <c r="C34">
        <v>95</v>
      </c>
      <c r="D34">
        <v>87</v>
      </c>
      <c r="E34">
        <v>94</v>
      </c>
      <c r="F34">
        <v>96</v>
      </c>
      <c r="G34">
        <v>88</v>
      </c>
      <c r="H34">
        <v>405.92473118279571</v>
      </c>
      <c r="I34">
        <v>399.2421052631579</v>
      </c>
      <c r="J34">
        <v>433.5287356321839</v>
      </c>
      <c r="K34">
        <v>75.745603482564064</v>
      </c>
      <c r="L34">
        <v>117.1016757506306</v>
      </c>
      <c r="M34">
        <v>213.2486723468287</v>
      </c>
      <c r="N34">
        <v>175</v>
      </c>
      <c r="O34">
        <v>152</v>
      </c>
      <c r="P34">
        <v>153</v>
      </c>
      <c r="Q34">
        <v>519</v>
      </c>
      <c r="R34">
        <v>800</v>
      </c>
      <c r="S34">
        <v>1365</v>
      </c>
      <c r="T34">
        <v>0</v>
      </c>
      <c r="U34">
        <v>0</v>
      </c>
      <c r="V34">
        <v>3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168</v>
      </c>
      <c r="C43">
        <v>166</v>
      </c>
      <c r="D43">
        <v>167</v>
      </c>
      <c r="E43">
        <v>169</v>
      </c>
      <c r="F43">
        <v>167</v>
      </c>
      <c r="G43">
        <v>168</v>
      </c>
      <c r="H43">
        <v>444.5</v>
      </c>
      <c r="I43">
        <v>449.84939759036138</v>
      </c>
      <c r="J43">
        <v>447.14371257485033</v>
      </c>
      <c r="K43">
        <v>48.226635620096211</v>
      </c>
      <c r="L43">
        <v>33.254868400915022</v>
      </c>
      <c r="M43">
        <v>61.358346556583911</v>
      </c>
      <c r="N43">
        <v>191</v>
      </c>
      <c r="O43">
        <v>237</v>
      </c>
      <c r="P43">
        <v>152</v>
      </c>
      <c r="Q43">
        <v>504</v>
      </c>
      <c r="R43">
        <v>496</v>
      </c>
      <c r="S43">
        <v>788</v>
      </c>
      <c r="T43">
        <v>0</v>
      </c>
      <c r="U43">
        <v>0</v>
      </c>
      <c r="V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204</v>
      </c>
      <c r="C45">
        <v>204</v>
      </c>
      <c r="D45">
        <v>180</v>
      </c>
      <c r="E45">
        <v>205</v>
      </c>
      <c r="F45">
        <v>205</v>
      </c>
      <c r="G45">
        <v>181</v>
      </c>
      <c r="H45">
        <v>365.85294117647061</v>
      </c>
      <c r="I45">
        <v>365.85294117647061</v>
      </c>
      <c r="J45">
        <v>414.84444444444438</v>
      </c>
      <c r="K45">
        <v>55.098460378983852</v>
      </c>
      <c r="L45">
        <v>38.80630111315935</v>
      </c>
      <c r="M45">
        <v>316.74402936213522</v>
      </c>
      <c r="N45">
        <v>163</v>
      </c>
      <c r="O45">
        <v>224</v>
      </c>
      <c r="P45">
        <v>153</v>
      </c>
      <c r="Q45">
        <v>793</v>
      </c>
      <c r="R45">
        <v>640</v>
      </c>
      <c r="S45">
        <v>2967</v>
      </c>
      <c r="T45">
        <v>0</v>
      </c>
      <c r="U45">
        <v>0</v>
      </c>
      <c r="V45">
        <v>6</v>
      </c>
    </row>
    <row r="46" spans="1:22" x14ac:dyDescent="0.2">
      <c r="A46" s="1">
        <v>45</v>
      </c>
      <c r="B46">
        <v>96</v>
      </c>
      <c r="C46">
        <v>145</v>
      </c>
      <c r="D46">
        <v>122</v>
      </c>
      <c r="E46">
        <v>97</v>
      </c>
      <c r="F46">
        <v>146</v>
      </c>
      <c r="G46">
        <v>123</v>
      </c>
      <c r="H46">
        <v>740.88541666666663</v>
      </c>
      <c r="I46">
        <v>506.9655172413793</v>
      </c>
      <c r="J46">
        <v>606.31967213114751</v>
      </c>
      <c r="K46">
        <v>778.07365190262522</v>
      </c>
      <c r="L46">
        <v>347.79694374801483</v>
      </c>
      <c r="M46">
        <v>400.88658494638389</v>
      </c>
      <c r="N46">
        <v>209</v>
      </c>
      <c r="O46">
        <v>170</v>
      </c>
      <c r="P46">
        <v>170</v>
      </c>
      <c r="Q46">
        <v>5661</v>
      </c>
      <c r="R46">
        <v>2101</v>
      </c>
      <c r="S46">
        <v>2101</v>
      </c>
      <c r="T46">
        <v>16</v>
      </c>
      <c r="U46">
        <v>17</v>
      </c>
      <c r="V46">
        <v>19</v>
      </c>
    </row>
    <row r="47" spans="1:22" x14ac:dyDescent="0.2">
      <c r="A47" s="1">
        <v>46</v>
      </c>
      <c r="B47">
        <v>204</v>
      </c>
      <c r="C47">
        <v>208</v>
      </c>
      <c r="D47">
        <v>83</v>
      </c>
      <c r="E47">
        <v>205</v>
      </c>
      <c r="F47">
        <v>209</v>
      </c>
      <c r="G47">
        <v>84</v>
      </c>
      <c r="H47">
        <v>365.57843137254901</v>
      </c>
      <c r="I47">
        <v>360.14903846153851</v>
      </c>
      <c r="J47">
        <v>901.07228915662654</v>
      </c>
      <c r="K47">
        <v>70.154710985003391</v>
      </c>
      <c r="L47">
        <v>66.608829252109501</v>
      </c>
      <c r="M47">
        <v>707.63466844046172</v>
      </c>
      <c r="N47">
        <v>243</v>
      </c>
      <c r="O47">
        <v>177</v>
      </c>
      <c r="P47">
        <v>207</v>
      </c>
      <c r="Q47">
        <v>736</v>
      </c>
      <c r="R47">
        <v>763</v>
      </c>
      <c r="S47">
        <v>3745</v>
      </c>
      <c r="T47">
        <v>0</v>
      </c>
      <c r="U47">
        <v>0</v>
      </c>
      <c r="V47">
        <v>30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210</v>
      </c>
      <c r="C51">
        <v>208</v>
      </c>
      <c r="D51">
        <v>189</v>
      </c>
      <c r="E51">
        <v>211</v>
      </c>
      <c r="F51">
        <v>209</v>
      </c>
      <c r="G51">
        <v>190</v>
      </c>
      <c r="H51">
        <v>355.54285714285709</v>
      </c>
      <c r="I51">
        <v>358.96634615384608</v>
      </c>
      <c r="J51">
        <v>394.64550264550257</v>
      </c>
      <c r="K51">
        <v>41.271890771737503</v>
      </c>
      <c r="L51">
        <v>92.574992825977787</v>
      </c>
      <c r="M51">
        <v>164.74634352764869</v>
      </c>
      <c r="N51">
        <v>172</v>
      </c>
      <c r="O51">
        <v>157</v>
      </c>
      <c r="P51">
        <v>155</v>
      </c>
      <c r="Q51">
        <v>440</v>
      </c>
      <c r="R51">
        <v>1389</v>
      </c>
      <c r="S51">
        <v>1592</v>
      </c>
      <c r="T51">
        <v>0</v>
      </c>
      <c r="U51">
        <v>1</v>
      </c>
      <c r="V51">
        <v>2</v>
      </c>
    </row>
    <row r="52" spans="1:22" x14ac:dyDescent="0.2">
      <c r="A52" s="1">
        <v>51</v>
      </c>
      <c r="B52">
        <v>180</v>
      </c>
      <c r="C52">
        <v>180</v>
      </c>
      <c r="D52">
        <v>180</v>
      </c>
      <c r="E52">
        <v>181</v>
      </c>
      <c r="F52">
        <v>181</v>
      </c>
      <c r="G52">
        <v>181</v>
      </c>
      <c r="H52">
        <v>415.28888888888889</v>
      </c>
      <c r="I52">
        <v>415.29444444444442</v>
      </c>
      <c r="J52">
        <v>415.28888888888889</v>
      </c>
      <c r="K52">
        <v>58.463232860695427</v>
      </c>
      <c r="L52">
        <v>52.534606548107831</v>
      </c>
      <c r="M52">
        <v>52.689931923782517</v>
      </c>
      <c r="N52">
        <v>198</v>
      </c>
      <c r="O52">
        <v>203</v>
      </c>
      <c r="P52">
        <v>201</v>
      </c>
      <c r="Q52">
        <v>652</v>
      </c>
      <c r="R52">
        <v>524</v>
      </c>
      <c r="S52">
        <v>527</v>
      </c>
      <c r="T52">
        <v>0</v>
      </c>
      <c r="U52">
        <v>0</v>
      </c>
      <c r="V52">
        <v>0</v>
      </c>
    </row>
    <row r="53" spans="1:22" x14ac:dyDescent="0.2">
      <c r="A53" s="1">
        <v>52</v>
      </c>
    </row>
    <row r="54" spans="1:22" x14ac:dyDescent="0.2">
      <c r="A54" s="1">
        <v>53</v>
      </c>
      <c r="B54">
        <v>135</v>
      </c>
      <c r="C54">
        <v>134</v>
      </c>
      <c r="D54">
        <v>127</v>
      </c>
      <c r="E54">
        <v>136</v>
      </c>
      <c r="F54">
        <v>135</v>
      </c>
      <c r="G54">
        <v>128</v>
      </c>
      <c r="H54">
        <v>430.59259259259261</v>
      </c>
      <c r="I54">
        <v>433.82089552238813</v>
      </c>
      <c r="J54">
        <v>459.43307086614169</v>
      </c>
      <c r="K54">
        <v>49.109274482965318</v>
      </c>
      <c r="L54">
        <v>39.544179299680039</v>
      </c>
      <c r="M54">
        <v>317.45834848783221</v>
      </c>
      <c r="N54">
        <v>196</v>
      </c>
      <c r="O54">
        <v>186</v>
      </c>
      <c r="P54">
        <v>152</v>
      </c>
      <c r="Q54">
        <v>544</v>
      </c>
      <c r="R54">
        <v>495</v>
      </c>
      <c r="S54">
        <v>1768</v>
      </c>
      <c r="T54">
        <v>0</v>
      </c>
      <c r="U54">
        <v>0</v>
      </c>
      <c r="V54">
        <v>9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61</v>
      </c>
      <c r="C58">
        <v>62</v>
      </c>
      <c r="D58">
        <v>29</v>
      </c>
      <c r="E58">
        <v>62</v>
      </c>
      <c r="F58">
        <v>63</v>
      </c>
      <c r="G58">
        <v>30</v>
      </c>
      <c r="H58">
        <v>381.11475409836072</v>
      </c>
      <c r="I58">
        <v>375.53225806451621</v>
      </c>
      <c r="J58">
        <v>733.62068965517244</v>
      </c>
      <c r="K58">
        <v>90.868237641223459</v>
      </c>
      <c r="L58">
        <v>84.95605763713256</v>
      </c>
      <c r="M58">
        <v>377.90412746707369</v>
      </c>
      <c r="N58">
        <v>231</v>
      </c>
      <c r="O58">
        <v>216</v>
      </c>
      <c r="P58">
        <v>220</v>
      </c>
      <c r="Q58">
        <v>800</v>
      </c>
      <c r="R58">
        <v>920</v>
      </c>
      <c r="S58">
        <v>1577</v>
      </c>
      <c r="T58">
        <v>0</v>
      </c>
      <c r="U58">
        <v>0</v>
      </c>
      <c r="V58">
        <v>7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13</v>
      </c>
      <c r="C63">
        <v>230</v>
      </c>
      <c r="D63">
        <v>86</v>
      </c>
      <c r="E63">
        <v>14</v>
      </c>
      <c r="F63">
        <v>231</v>
      </c>
      <c r="G63">
        <v>87</v>
      </c>
      <c r="H63">
        <v>5008.3846153846152</v>
      </c>
      <c r="I63">
        <v>293.10869565217388</v>
      </c>
      <c r="J63">
        <v>773.44186046511629</v>
      </c>
      <c r="K63">
        <v>6456.5156694414973</v>
      </c>
      <c r="L63">
        <v>18.500829983588311</v>
      </c>
      <c r="M63">
        <v>1317.568353888428</v>
      </c>
      <c r="N63">
        <v>269</v>
      </c>
      <c r="O63">
        <v>260</v>
      </c>
      <c r="P63">
        <v>153</v>
      </c>
      <c r="Q63">
        <v>21609</v>
      </c>
      <c r="R63">
        <v>345</v>
      </c>
      <c r="S63">
        <v>11536</v>
      </c>
      <c r="T63">
        <v>10</v>
      </c>
      <c r="U63">
        <v>0</v>
      </c>
      <c r="V63">
        <v>14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230</v>
      </c>
      <c r="C72">
        <v>231</v>
      </c>
      <c r="D72">
        <v>163</v>
      </c>
      <c r="E72">
        <v>231</v>
      </c>
      <c r="F72">
        <v>232</v>
      </c>
      <c r="G72">
        <v>164</v>
      </c>
      <c r="H72">
        <v>324.4173913043478</v>
      </c>
      <c r="I72">
        <v>323.02164502164499</v>
      </c>
      <c r="J72">
        <v>458.63803680981601</v>
      </c>
      <c r="K72">
        <v>79.662879490455538</v>
      </c>
      <c r="L72">
        <v>66.303219535407166</v>
      </c>
      <c r="M72">
        <v>367.52548953487627</v>
      </c>
      <c r="N72">
        <v>167</v>
      </c>
      <c r="O72">
        <v>171</v>
      </c>
      <c r="P72">
        <v>159</v>
      </c>
      <c r="Q72">
        <v>923</v>
      </c>
      <c r="R72">
        <v>920</v>
      </c>
      <c r="S72">
        <v>3002</v>
      </c>
      <c r="T72">
        <v>0</v>
      </c>
      <c r="U72">
        <v>0</v>
      </c>
      <c r="V72">
        <v>10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222</v>
      </c>
      <c r="C77">
        <v>226</v>
      </c>
      <c r="D77">
        <v>38</v>
      </c>
      <c r="E77">
        <v>223</v>
      </c>
      <c r="F77">
        <v>227</v>
      </c>
      <c r="G77">
        <v>39</v>
      </c>
      <c r="H77">
        <v>335.80630630630628</v>
      </c>
      <c r="I77">
        <v>331.64601769911502</v>
      </c>
      <c r="J77">
        <v>1965.605263157895</v>
      </c>
      <c r="K77">
        <v>67.206936157980422</v>
      </c>
      <c r="L77">
        <v>60.785805412335797</v>
      </c>
      <c r="M77">
        <v>2603.9391940784708</v>
      </c>
      <c r="N77">
        <v>216</v>
      </c>
      <c r="O77">
        <v>152</v>
      </c>
      <c r="P77">
        <v>236</v>
      </c>
      <c r="Q77">
        <v>1024</v>
      </c>
      <c r="R77">
        <v>1043</v>
      </c>
      <c r="S77">
        <v>12728</v>
      </c>
      <c r="T77">
        <v>1</v>
      </c>
      <c r="U77">
        <v>1</v>
      </c>
      <c r="V77">
        <v>19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21</v>
      </c>
      <c r="C80">
        <v>21</v>
      </c>
      <c r="D80">
        <v>19</v>
      </c>
      <c r="E80">
        <v>22</v>
      </c>
      <c r="F80">
        <v>22</v>
      </c>
      <c r="G80">
        <v>20</v>
      </c>
      <c r="H80">
        <v>2340.1904761904761</v>
      </c>
      <c r="I80">
        <v>2340.9047619047619</v>
      </c>
      <c r="J80">
        <v>2587.3157894736842</v>
      </c>
      <c r="K80">
        <v>4977.2496182032864</v>
      </c>
      <c r="L80">
        <v>4584.488127422318</v>
      </c>
      <c r="M80">
        <v>5066.6748689915148</v>
      </c>
      <c r="N80">
        <v>354</v>
      </c>
      <c r="O80">
        <v>316</v>
      </c>
      <c r="P80">
        <v>318</v>
      </c>
      <c r="Q80">
        <v>18180</v>
      </c>
      <c r="R80">
        <v>18196</v>
      </c>
      <c r="S80">
        <v>18620</v>
      </c>
      <c r="T80">
        <v>3</v>
      </c>
      <c r="U80">
        <v>6</v>
      </c>
      <c r="V80">
        <v>5</v>
      </c>
    </row>
    <row r="81" spans="1:22" x14ac:dyDescent="0.2">
      <c r="A81" s="1">
        <v>80</v>
      </c>
      <c r="B81">
        <v>141</v>
      </c>
      <c r="C81">
        <v>149</v>
      </c>
      <c r="D81">
        <v>54</v>
      </c>
      <c r="E81">
        <v>142</v>
      </c>
      <c r="F81">
        <v>150</v>
      </c>
      <c r="G81">
        <v>55</v>
      </c>
      <c r="H81">
        <v>371.6099290780142</v>
      </c>
      <c r="I81">
        <v>351.56375838926169</v>
      </c>
      <c r="J81">
        <v>970.14814814814815</v>
      </c>
      <c r="K81">
        <v>232.97028544582511</v>
      </c>
      <c r="L81">
        <v>208.66070098878319</v>
      </c>
      <c r="M81">
        <v>796.54808113669048</v>
      </c>
      <c r="N81">
        <v>235</v>
      </c>
      <c r="O81">
        <v>192</v>
      </c>
      <c r="P81">
        <v>205</v>
      </c>
      <c r="Q81">
        <v>2490</v>
      </c>
      <c r="R81">
        <v>2485</v>
      </c>
      <c r="S81">
        <v>3868</v>
      </c>
      <c r="T81">
        <v>3</v>
      </c>
      <c r="U81">
        <v>3</v>
      </c>
      <c r="V81">
        <v>21</v>
      </c>
    </row>
    <row r="82" spans="1:22" x14ac:dyDescent="0.2">
      <c r="A82" s="1">
        <v>81</v>
      </c>
    </row>
    <row r="83" spans="1:22" x14ac:dyDescent="0.2">
      <c r="A83" s="1">
        <v>82</v>
      </c>
      <c r="B83">
        <v>229</v>
      </c>
      <c r="C83">
        <v>229</v>
      </c>
      <c r="D83">
        <v>11</v>
      </c>
      <c r="E83">
        <v>230</v>
      </c>
      <c r="F83">
        <v>230</v>
      </c>
      <c r="G83">
        <v>12</v>
      </c>
      <c r="H83">
        <v>325.58515283842797</v>
      </c>
      <c r="I83">
        <v>325.57641921397379</v>
      </c>
      <c r="J83">
        <v>5544.363636363636</v>
      </c>
      <c r="K83">
        <v>19.257214360097581</v>
      </c>
      <c r="L83">
        <v>18.974811635307969</v>
      </c>
      <c r="M83">
        <v>6735.5696458833718</v>
      </c>
      <c r="N83">
        <v>285</v>
      </c>
      <c r="O83">
        <v>284</v>
      </c>
      <c r="P83">
        <v>628</v>
      </c>
      <c r="Q83">
        <v>392</v>
      </c>
      <c r="R83">
        <v>393</v>
      </c>
      <c r="S83">
        <v>20460</v>
      </c>
      <c r="T83">
        <v>0</v>
      </c>
      <c r="U83">
        <v>0</v>
      </c>
      <c r="V83">
        <v>9</v>
      </c>
    </row>
    <row r="84" spans="1:22" x14ac:dyDescent="0.2">
      <c r="A84" s="1">
        <v>83</v>
      </c>
    </row>
    <row r="85" spans="1:22" x14ac:dyDescent="0.2">
      <c r="A85" s="1">
        <v>84</v>
      </c>
      <c r="B85">
        <v>28</v>
      </c>
      <c r="C85">
        <v>33</v>
      </c>
      <c r="D85">
        <v>30</v>
      </c>
      <c r="E85">
        <v>29</v>
      </c>
      <c r="F85">
        <v>34</v>
      </c>
      <c r="G85">
        <v>31</v>
      </c>
      <c r="H85">
        <v>733.32142857142856</v>
      </c>
      <c r="I85">
        <v>1526.090909090909</v>
      </c>
      <c r="J85">
        <v>1679.3</v>
      </c>
      <c r="K85">
        <v>601.59134976859684</v>
      </c>
      <c r="L85">
        <v>5037.6900296889316</v>
      </c>
      <c r="M85">
        <v>5275.8667282715514</v>
      </c>
      <c r="N85">
        <v>189</v>
      </c>
      <c r="O85">
        <v>192</v>
      </c>
      <c r="P85">
        <v>197</v>
      </c>
      <c r="Q85">
        <v>2636</v>
      </c>
      <c r="R85">
        <v>29412</v>
      </c>
      <c r="S85">
        <v>29444</v>
      </c>
      <c r="T85">
        <v>5</v>
      </c>
      <c r="U85">
        <v>6</v>
      </c>
      <c r="V85">
        <v>7</v>
      </c>
    </row>
    <row r="86" spans="1:22" x14ac:dyDescent="0.2">
      <c r="A86" s="1">
        <v>85</v>
      </c>
      <c r="B86">
        <v>46</v>
      </c>
      <c r="C86">
        <v>46</v>
      </c>
      <c r="D86">
        <v>47</v>
      </c>
      <c r="E86">
        <v>47</v>
      </c>
      <c r="F86">
        <v>47</v>
      </c>
      <c r="G86">
        <v>48</v>
      </c>
      <c r="H86">
        <v>1546.326086956522</v>
      </c>
      <c r="I86">
        <v>1546.347826086957</v>
      </c>
      <c r="J86">
        <v>1513.425531914894</v>
      </c>
      <c r="K86">
        <v>1373.834440200902</v>
      </c>
      <c r="L86">
        <v>1834.315485010887</v>
      </c>
      <c r="M86">
        <v>1430.968898648453</v>
      </c>
      <c r="N86">
        <v>213</v>
      </c>
      <c r="O86">
        <v>273</v>
      </c>
      <c r="P86">
        <v>212</v>
      </c>
      <c r="Q86">
        <v>7126</v>
      </c>
      <c r="R86">
        <v>11046</v>
      </c>
      <c r="S86">
        <v>6755</v>
      </c>
      <c r="T86">
        <v>27</v>
      </c>
      <c r="U86">
        <v>23</v>
      </c>
      <c r="V86">
        <v>25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  <row r="94" spans="1:22" x14ac:dyDescent="0.2">
      <c r="H94">
        <f>MEDIAN(H2:H91)</f>
        <v>381.83076923076919</v>
      </c>
      <c r="I94">
        <f t="shared" ref="I94:J94" si="0">MEDIAN(I2:I91)</f>
        <v>382.3528846153846</v>
      </c>
      <c r="J94">
        <f t="shared" si="0"/>
        <v>678.65602383993189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V93"/>
  <sheetViews>
    <sheetView topLeftCell="A48" workbookViewId="0">
      <selection activeCell="I89" sqref="I89"/>
    </sheetView>
  </sheetViews>
  <sheetFormatPr baseColWidth="10" defaultColWidth="8.83203125" defaultRowHeight="15" x14ac:dyDescent="0.2"/>
  <sheetData>
    <row r="1" spans="1:22" x14ac:dyDescent="0.2">
      <c r="A1" s="1" t="s">
        <v>43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239</v>
      </c>
      <c r="C2">
        <v>245</v>
      </c>
      <c r="D2">
        <v>245</v>
      </c>
      <c r="E2">
        <v>240</v>
      </c>
      <c r="F2">
        <v>246</v>
      </c>
      <c r="G2">
        <v>246</v>
      </c>
      <c r="H2">
        <v>214.54811715481171</v>
      </c>
      <c r="I2">
        <v>209.29387755102039</v>
      </c>
      <c r="J2">
        <v>209.29387755102039</v>
      </c>
      <c r="K2">
        <v>49.226675006080633</v>
      </c>
      <c r="L2">
        <v>21.21637559786155</v>
      </c>
      <c r="M2">
        <v>21.213284657698608</v>
      </c>
      <c r="N2">
        <v>167</v>
      </c>
      <c r="O2">
        <v>183</v>
      </c>
      <c r="P2">
        <v>183</v>
      </c>
      <c r="Q2">
        <v>754</v>
      </c>
      <c r="R2">
        <v>263</v>
      </c>
      <c r="S2">
        <v>263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333</v>
      </c>
      <c r="C3">
        <v>333</v>
      </c>
      <c r="D3">
        <v>333</v>
      </c>
      <c r="E3">
        <v>334</v>
      </c>
      <c r="F3">
        <v>334</v>
      </c>
      <c r="G3">
        <v>334</v>
      </c>
      <c r="H3">
        <v>223.81081081081081</v>
      </c>
      <c r="I3">
        <v>223.80780780780779</v>
      </c>
      <c r="J3">
        <v>223.80780780780779</v>
      </c>
      <c r="K3">
        <v>24.64538136311501</v>
      </c>
      <c r="L3">
        <v>24.850741164900469</v>
      </c>
      <c r="M3">
        <v>24.645174733600449</v>
      </c>
      <c r="N3">
        <v>176</v>
      </c>
      <c r="O3">
        <v>174</v>
      </c>
      <c r="P3">
        <v>176</v>
      </c>
      <c r="Q3">
        <v>313</v>
      </c>
      <c r="R3">
        <v>313</v>
      </c>
      <c r="S3">
        <v>313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337</v>
      </c>
      <c r="C8">
        <v>1</v>
      </c>
      <c r="D8">
        <v>113</v>
      </c>
      <c r="E8">
        <v>1</v>
      </c>
      <c r="F8">
        <v>2</v>
      </c>
      <c r="G8">
        <v>1</v>
      </c>
      <c r="H8">
        <v>38811.620178041543</v>
      </c>
      <c r="I8">
        <v>154</v>
      </c>
      <c r="J8">
        <v>321.88495575221242</v>
      </c>
      <c r="K8">
        <v>21381.90508012104</v>
      </c>
      <c r="M8">
        <v>46.288642585023993</v>
      </c>
      <c r="N8">
        <v>373</v>
      </c>
      <c r="O8">
        <v>154</v>
      </c>
      <c r="P8">
        <v>193</v>
      </c>
      <c r="Q8">
        <v>74926</v>
      </c>
      <c r="R8">
        <v>154</v>
      </c>
      <c r="S8">
        <v>496</v>
      </c>
      <c r="T8">
        <v>334</v>
      </c>
      <c r="U8">
        <v>0</v>
      </c>
      <c r="V8">
        <v>0</v>
      </c>
    </row>
    <row r="9" spans="1:22" x14ac:dyDescent="0.2">
      <c r="A9" s="1">
        <v>8</v>
      </c>
      <c r="B9">
        <v>325</v>
      </c>
      <c r="C9">
        <v>325</v>
      </c>
      <c r="D9">
        <v>34</v>
      </c>
      <c r="E9">
        <v>326</v>
      </c>
      <c r="F9">
        <v>326</v>
      </c>
      <c r="G9">
        <v>35</v>
      </c>
      <c r="H9">
        <v>230.31384615384621</v>
      </c>
      <c r="I9">
        <v>230.31384615384621</v>
      </c>
      <c r="J9">
        <v>1947.6764705882349</v>
      </c>
      <c r="K9">
        <v>15.345002372621661</v>
      </c>
      <c r="L9">
        <v>15.20457083771108</v>
      </c>
      <c r="M9">
        <v>2803.7896618531208</v>
      </c>
      <c r="N9">
        <v>196</v>
      </c>
      <c r="O9">
        <v>202</v>
      </c>
      <c r="P9">
        <v>192</v>
      </c>
      <c r="Q9">
        <v>282</v>
      </c>
      <c r="R9">
        <v>283</v>
      </c>
      <c r="S9">
        <v>16144</v>
      </c>
      <c r="T9">
        <v>0</v>
      </c>
      <c r="U9">
        <v>0</v>
      </c>
      <c r="V9">
        <v>19</v>
      </c>
    </row>
    <row r="10" spans="1:22" x14ac:dyDescent="0.2">
      <c r="A10" s="1">
        <v>9</v>
      </c>
      <c r="B10">
        <v>118</v>
      </c>
      <c r="C10">
        <v>118</v>
      </c>
      <c r="D10">
        <v>122</v>
      </c>
      <c r="E10">
        <v>119</v>
      </c>
      <c r="F10">
        <v>119</v>
      </c>
      <c r="G10">
        <v>123</v>
      </c>
      <c r="H10">
        <v>234.63559322033899</v>
      </c>
      <c r="I10">
        <v>234.64406779661019</v>
      </c>
      <c r="J10">
        <v>226.95081967213119</v>
      </c>
      <c r="K10">
        <v>51.188885220894413</v>
      </c>
      <c r="L10">
        <v>40.948273691992668</v>
      </c>
      <c r="M10">
        <v>23.625470377587291</v>
      </c>
      <c r="N10">
        <v>177</v>
      </c>
      <c r="O10">
        <v>175</v>
      </c>
      <c r="P10">
        <v>192</v>
      </c>
      <c r="Q10">
        <v>519</v>
      </c>
      <c r="R10">
        <v>449</v>
      </c>
      <c r="S10">
        <v>318</v>
      </c>
      <c r="T10">
        <v>0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B14">
        <v>10</v>
      </c>
      <c r="C14">
        <v>187</v>
      </c>
      <c r="D14">
        <v>10</v>
      </c>
      <c r="E14">
        <v>11</v>
      </c>
      <c r="F14">
        <v>188</v>
      </c>
      <c r="G14">
        <v>11</v>
      </c>
      <c r="H14">
        <v>2710.4</v>
      </c>
      <c r="I14">
        <v>247.32620320855611</v>
      </c>
      <c r="J14">
        <v>3308.4</v>
      </c>
      <c r="K14">
        <v>6936.806537112976</v>
      </c>
      <c r="L14">
        <v>158.63305703042701</v>
      </c>
      <c r="M14">
        <v>5050.6023447153757</v>
      </c>
      <c r="N14">
        <v>163</v>
      </c>
      <c r="O14">
        <v>173</v>
      </c>
      <c r="P14">
        <v>229</v>
      </c>
      <c r="Q14">
        <v>22429</v>
      </c>
      <c r="R14">
        <v>1260</v>
      </c>
      <c r="S14">
        <v>15696</v>
      </c>
      <c r="T14">
        <v>2</v>
      </c>
      <c r="U14">
        <v>3</v>
      </c>
      <c r="V14">
        <v>5</v>
      </c>
    </row>
    <row r="15" spans="1:22" x14ac:dyDescent="0.2">
      <c r="A15" s="1">
        <v>14</v>
      </c>
      <c r="B15">
        <v>325</v>
      </c>
      <c r="C15">
        <v>327</v>
      </c>
      <c r="D15">
        <v>192</v>
      </c>
      <c r="E15">
        <v>326</v>
      </c>
      <c r="F15">
        <v>328</v>
      </c>
      <c r="G15">
        <v>193</v>
      </c>
      <c r="H15">
        <v>229.72615384615381</v>
      </c>
      <c r="I15">
        <v>228.32110091743121</v>
      </c>
      <c r="J15">
        <v>384.47395833333331</v>
      </c>
      <c r="K15">
        <v>26.766746672791491</v>
      </c>
      <c r="L15">
        <v>6.082582093094369</v>
      </c>
      <c r="M15">
        <v>195.33839439167249</v>
      </c>
      <c r="N15">
        <v>209</v>
      </c>
      <c r="O15">
        <v>208</v>
      </c>
      <c r="P15">
        <v>167</v>
      </c>
      <c r="Q15">
        <v>698</v>
      </c>
      <c r="R15">
        <v>244</v>
      </c>
      <c r="S15">
        <v>1232</v>
      </c>
      <c r="T15">
        <v>0</v>
      </c>
      <c r="U15">
        <v>0</v>
      </c>
      <c r="V15">
        <v>2</v>
      </c>
    </row>
    <row r="16" spans="1:22" x14ac:dyDescent="0.2">
      <c r="A16" s="1">
        <v>15</v>
      </c>
    </row>
    <row r="17" spans="1:22" x14ac:dyDescent="0.2">
      <c r="A17" s="1">
        <v>16</v>
      </c>
      <c r="B17">
        <v>305</v>
      </c>
      <c r="C17">
        <v>305</v>
      </c>
      <c r="D17">
        <v>68</v>
      </c>
      <c r="E17">
        <v>306</v>
      </c>
      <c r="F17">
        <v>306</v>
      </c>
      <c r="G17">
        <v>69</v>
      </c>
      <c r="H17">
        <v>244.41967213114751</v>
      </c>
      <c r="I17">
        <v>244.42622950819671</v>
      </c>
      <c r="J17">
        <v>1072.25</v>
      </c>
      <c r="K17">
        <v>16.976016554246261</v>
      </c>
      <c r="L17">
        <v>17.242331453730689</v>
      </c>
      <c r="M17">
        <v>1625.0140975278271</v>
      </c>
      <c r="N17">
        <v>218</v>
      </c>
      <c r="O17">
        <v>218</v>
      </c>
      <c r="P17">
        <v>156</v>
      </c>
      <c r="Q17">
        <v>314</v>
      </c>
      <c r="R17">
        <v>317</v>
      </c>
      <c r="S17">
        <v>8228</v>
      </c>
      <c r="T17">
        <v>0</v>
      </c>
      <c r="U17">
        <v>0</v>
      </c>
      <c r="V17">
        <v>16</v>
      </c>
    </row>
    <row r="18" spans="1:22" x14ac:dyDescent="0.2">
      <c r="A18" s="1">
        <v>17</v>
      </c>
    </row>
    <row r="19" spans="1:22" x14ac:dyDescent="0.2">
      <c r="A19" s="1">
        <v>18</v>
      </c>
      <c r="B19">
        <v>288</v>
      </c>
      <c r="C19">
        <v>264</v>
      </c>
      <c r="D19">
        <v>232</v>
      </c>
      <c r="E19">
        <v>289</v>
      </c>
      <c r="F19">
        <v>265</v>
      </c>
      <c r="G19">
        <v>233</v>
      </c>
      <c r="H19">
        <v>260.125</v>
      </c>
      <c r="I19">
        <v>283.77651515151513</v>
      </c>
      <c r="J19">
        <v>322.91379310344831</v>
      </c>
      <c r="K19">
        <v>21.67960392813568</v>
      </c>
      <c r="L19">
        <v>92.661200907332955</v>
      </c>
      <c r="M19">
        <v>157.60441843222421</v>
      </c>
      <c r="N19">
        <v>210</v>
      </c>
      <c r="O19">
        <v>154</v>
      </c>
      <c r="P19">
        <v>156</v>
      </c>
      <c r="Q19">
        <v>328</v>
      </c>
      <c r="R19">
        <v>1068</v>
      </c>
      <c r="S19">
        <v>1428</v>
      </c>
      <c r="T19">
        <v>0</v>
      </c>
      <c r="U19">
        <v>1</v>
      </c>
      <c r="V19">
        <v>2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57</v>
      </c>
      <c r="C23">
        <v>50</v>
      </c>
      <c r="D23">
        <v>48</v>
      </c>
      <c r="E23">
        <v>58</v>
      </c>
      <c r="F23">
        <v>51</v>
      </c>
      <c r="G23">
        <v>49</v>
      </c>
      <c r="H23">
        <v>218.7719298245614</v>
      </c>
      <c r="I23">
        <v>249.4</v>
      </c>
      <c r="J23">
        <v>259.77083333333331</v>
      </c>
      <c r="K23">
        <v>27.506504129451979</v>
      </c>
      <c r="L23">
        <v>127.8736621411452</v>
      </c>
      <c r="M23">
        <v>241.9199128587571</v>
      </c>
      <c r="N23">
        <v>166</v>
      </c>
      <c r="O23">
        <v>189</v>
      </c>
      <c r="P23">
        <v>191</v>
      </c>
      <c r="Q23">
        <v>279</v>
      </c>
      <c r="R23">
        <v>950</v>
      </c>
      <c r="S23">
        <v>1894</v>
      </c>
      <c r="T23">
        <v>0</v>
      </c>
      <c r="U23">
        <v>0</v>
      </c>
      <c r="V23">
        <v>1</v>
      </c>
    </row>
    <row r="24" spans="1:22" x14ac:dyDescent="0.2">
      <c r="A24" s="1">
        <v>23</v>
      </c>
    </row>
    <row r="25" spans="1:22" x14ac:dyDescent="0.2">
      <c r="A25" s="1">
        <v>24</v>
      </c>
      <c r="B25">
        <v>293</v>
      </c>
      <c r="C25">
        <v>287</v>
      </c>
      <c r="D25">
        <v>210</v>
      </c>
      <c r="E25">
        <v>294</v>
      </c>
      <c r="F25">
        <v>288</v>
      </c>
      <c r="G25">
        <v>211</v>
      </c>
      <c r="H25">
        <v>255.7883959044369</v>
      </c>
      <c r="I25">
        <v>261.13937282229972</v>
      </c>
      <c r="J25">
        <v>355.71904761904761</v>
      </c>
      <c r="K25">
        <v>14.1620852774006</v>
      </c>
      <c r="L25">
        <v>42.482428497836651</v>
      </c>
      <c r="M25">
        <v>241.05581580625031</v>
      </c>
      <c r="N25">
        <v>208</v>
      </c>
      <c r="O25">
        <v>196</v>
      </c>
      <c r="P25">
        <v>167</v>
      </c>
      <c r="Q25">
        <v>295</v>
      </c>
      <c r="R25">
        <v>731</v>
      </c>
      <c r="S25">
        <v>1770</v>
      </c>
      <c r="T25">
        <v>0</v>
      </c>
      <c r="U25">
        <v>0</v>
      </c>
      <c r="V25">
        <v>5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38</v>
      </c>
      <c r="C31">
        <v>331</v>
      </c>
      <c r="E31">
        <v>39</v>
      </c>
      <c r="F31">
        <v>315</v>
      </c>
      <c r="H31">
        <v>194.60526315789471</v>
      </c>
      <c r="I31">
        <v>452.61933534743201</v>
      </c>
      <c r="K31">
        <v>6.029385131504819</v>
      </c>
      <c r="L31">
        <v>62.224764539378853</v>
      </c>
      <c r="N31">
        <v>170</v>
      </c>
      <c r="O31">
        <v>175</v>
      </c>
      <c r="Q31">
        <v>216</v>
      </c>
      <c r="R31">
        <v>866</v>
      </c>
      <c r="T31">
        <v>0</v>
      </c>
      <c r="U31">
        <v>0</v>
      </c>
    </row>
    <row r="32" spans="1:22" x14ac:dyDescent="0.2">
      <c r="A32" s="1">
        <v>31</v>
      </c>
      <c r="B32">
        <v>250</v>
      </c>
      <c r="E32">
        <v>251</v>
      </c>
      <c r="H32">
        <v>298.69200000000001</v>
      </c>
      <c r="K32">
        <v>47.029909478353972</v>
      </c>
      <c r="N32">
        <v>238</v>
      </c>
      <c r="Q32">
        <v>444</v>
      </c>
      <c r="T32">
        <v>0</v>
      </c>
    </row>
    <row r="33" spans="1:22" x14ac:dyDescent="0.2">
      <c r="A33" s="1">
        <v>32</v>
      </c>
    </row>
    <row r="34" spans="1:22" x14ac:dyDescent="0.2">
      <c r="A34" s="1">
        <v>33</v>
      </c>
      <c r="B34">
        <v>154</v>
      </c>
      <c r="D34">
        <v>335</v>
      </c>
      <c r="E34">
        <v>155</v>
      </c>
      <c r="G34">
        <v>1</v>
      </c>
      <c r="H34">
        <v>249.3766233766234</v>
      </c>
      <c r="J34">
        <v>38732.426865671638</v>
      </c>
      <c r="K34">
        <v>18.92713165555999</v>
      </c>
      <c r="M34">
        <v>21802.375827245291</v>
      </c>
      <c r="N34">
        <v>210</v>
      </c>
      <c r="P34">
        <v>165</v>
      </c>
      <c r="Q34">
        <v>333</v>
      </c>
      <c r="S34">
        <v>75056</v>
      </c>
      <c r="T34">
        <v>0</v>
      </c>
      <c r="V34">
        <v>331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303</v>
      </c>
      <c r="D43">
        <v>190</v>
      </c>
      <c r="E43">
        <v>304</v>
      </c>
      <c r="G43">
        <v>104</v>
      </c>
      <c r="H43">
        <v>247.9240924092409</v>
      </c>
      <c r="J43">
        <v>37127.052631578947</v>
      </c>
      <c r="K43">
        <v>22.81216520214544</v>
      </c>
      <c r="M43">
        <v>21749.800800580681</v>
      </c>
      <c r="N43">
        <v>209</v>
      </c>
      <c r="P43">
        <v>377</v>
      </c>
      <c r="Q43">
        <v>321</v>
      </c>
      <c r="S43">
        <v>74937</v>
      </c>
      <c r="T43">
        <v>0</v>
      </c>
      <c r="V43">
        <v>188</v>
      </c>
    </row>
    <row r="44" spans="1:22" x14ac:dyDescent="0.2">
      <c r="A44" s="1">
        <v>43</v>
      </c>
    </row>
    <row r="45" spans="1:22" x14ac:dyDescent="0.2">
      <c r="A45" s="1">
        <v>44</v>
      </c>
      <c r="B45">
        <v>271</v>
      </c>
      <c r="C45">
        <v>207</v>
      </c>
      <c r="D45">
        <v>121</v>
      </c>
      <c r="E45">
        <v>272</v>
      </c>
      <c r="F45">
        <v>208</v>
      </c>
      <c r="G45">
        <v>122</v>
      </c>
      <c r="H45">
        <v>272.86346863468628</v>
      </c>
      <c r="I45">
        <v>361</v>
      </c>
      <c r="J45">
        <v>611.00826446280996</v>
      </c>
      <c r="K45">
        <v>226.14772252060669</v>
      </c>
      <c r="L45">
        <v>375.61682603419138</v>
      </c>
      <c r="M45">
        <v>643.37357597624634</v>
      </c>
      <c r="N45">
        <v>151</v>
      </c>
      <c r="O45">
        <v>183</v>
      </c>
      <c r="P45">
        <v>160</v>
      </c>
      <c r="Q45">
        <v>1668</v>
      </c>
      <c r="R45">
        <v>3600</v>
      </c>
      <c r="S45">
        <v>3925</v>
      </c>
      <c r="T45">
        <v>8</v>
      </c>
      <c r="U45">
        <v>12</v>
      </c>
      <c r="V45">
        <v>19</v>
      </c>
    </row>
    <row r="46" spans="1:22" x14ac:dyDescent="0.2">
      <c r="A46" s="1">
        <v>45</v>
      </c>
      <c r="B46">
        <v>180</v>
      </c>
      <c r="C46">
        <v>154</v>
      </c>
      <c r="D46">
        <v>142</v>
      </c>
      <c r="E46">
        <v>181</v>
      </c>
      <c r="F46">
        <v>155</v>
      </c>
      <c r="G46">
        <v>143</v>
      </c>
      <c r="H46">
        <v>413.86111111111109</v>
      </c>
      <c r="I46">
        <v>476.75324675324669</v>
      </c>
      <c r="J46">
        <v>522.45070422535207</v>
      </c>
      <c r="K46">
        <v>279.11817972991611</v>
      </c>
      <c r="L46">
        <v>316.69416416606208</v>
      </c>
      <c r="M46">
        <v>350.21514314612699</v>
      </c>
      <c r="N46">
        <v>152</v>
      </c>
      <c r="O46">
        <v>152</v>
      </c>
      <c r="P46">
        <v>152</v>
      </c>
      <c r="Q46">
        <v>2427</v>
      </c>
      <c r="R46">
        <v>2407</v>
      </c>
      <c r="S46">
        <v>2280</v>
      </c>
      <c r="T46">
        <v>8</v>
      </c>
      <c r="U46">
        <v>7</v>
      </c>
      <c r="V46">
        <v>11</v>
      </c>
    </row>
    <row r="47" spans="1:22" x14ac:dyDescent="0.2">
      <c r="A47" s="1">
        <v>46</v>
      </c>
      <c r="B47">
        <v>13</v>
      </c>
      <c r="C47">
        <v>14</v>
      </c>
      <c r="D47">
        <v>19</v>
      </c>
      <c r="E47">
        <v>14</v>
      </c>
      <c r="F47">
        <v>15</v>
      </c>
      <c r="G47">
        <v>20</v>
      </c>
      <c r="H47">
        <v>2917.6153846153852</v>
      </c>
      <c r="I47">
        <v>2709.1428571428569</v>
      </c>
      <c r="J47">
        <v>2576.8421052631579</v>
      </c>
      <c r="K47">
        <v>4581.532559061824</v>
      </c>
      <c r="L47">
        <v>4408.2994777707981</v>
      </c>
      <c r="M47">
        <v>3868.0373326814652</v>
      </c>
      <c r="N47">
        <v>223</v>
      </c>
      <c r="O47">
        <v>223</v>
      </c>
      <c r="P47">
        <v>223</v>
      </c>
      <c r="Q47">
        <v>17178</v>
      </c>
      <c r="R47">
        <v>17178</v>
      </c>
      <c r="S47">
        <v>15581</v>
      </c>
      <c r="T47">
        <v>7</v>
      </c>
      <c r="U47">
        <v>8</v>
      </c>
      <c r="V47">
        <v>10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282</v>
      </c>
      <c r="C51">
        <v>284</v>
      </c>
      <c r="D51">
        <v>253</v>
      </c>
      <c r="E51">
        <v>283</v>
      </c>
      <c r="F51">
        <v>285</v>
      </c>
      <c r="G51">
        <v>254</v>
      </c>
      <c r="H51">
        <v>264.98936170212772</v>
      </c>
      <c r="I51">
        <v>263.12323943661971</v>
      </c>
      <c r="J51">
        <v>295.36363636363637</v>
      </c>
      <c r="K51">
        <v>49.27174152349788</v>
      </c>
      <c r="L51">
        <v>42.669768454949512</v>
      </c>
      <c r="M51">
        <v>225.70166206685369</v>
      </c>
      <c r="N51">
        <v>217</v>
      </c>
      <c r="O51">
        <v>198</v>
      </c>
      <c r="P51">
        <v>160</v>
      </c>
      <c r="Q51">
        <v>697</v>
      </c>
      <c r="R51">
        <v>692</v>
      </c>
      <c r="S51">
        <v>3571</v>
      </c>
      <c r="T51">
        <v>0</v>
      </c>
      <c r="U51">
        <v>0</v>
      </c>
      <c r="V51">
        <v>1</v>
      </c>
    </row>
    <row r="52" spans="1:22" x14ac:dyDescent="0.2">
      <c r="A52" s="1">
        <v>51</v>
      </c>
      <c r="B52">
        <v>300</v>
      </c>
      <c r="C52">
        <v>300</v>
      </c>
      <c r="D52">
        <v>73</v>
      </c>
      <c r="E52">
        <v>301</v>
      </c>
      <c r="F52">
        <v>301</v>
      </c>
      <c r="G52">
        <v>74</v>
      </c>
      <c r="H52">
        <v>248.7233333333333</v>
      </c>
      <c r="I52">
        <v>248.73</v>
      </c>
      <c r="J52">
        <v>869.97260273972597</v>
      </c>
      <c r="K52">
        <v>37.390823756990301</v>
      </c>
      <c r="L52">
        <v>37.331701718208038</v>
      </c>
      <c r="M52">
        <v>1360.372936740783</v>
      </c>
      <c r="N52">
        <v>184</v>
      </c>
      <c r="O52">
        <v>184</v>
      </c>
      <c r="P52">
        <v>188</v>
      </c>
      <c r="Q52">
        <v>434</v>
      </c>
      <c r="R52">
        <v>433</v>
      </c>
      <c r="S52">
        <v>7790</v>
      </c>
      <c r="T52">
        <v>0</v>
      </c>
      <c r="U52">
        <v>0</v>
      </c>
      <c r="V52">
        <v>11</v>
      </c>
    </row>
    <row r="53" spans="1:22" x14ac:dyDescent="0.2">
      <c r="A53" s="1">
        <v>52</v>
      </c>
    </row>
    <row r="54" spans="1:22" x14ac:dyDescent="0.2">
      <c r="A54" s="1">
        <v>53</v>
      </c>
      <c r="B54">
        <v>179</v>
      </c>
      <c r="C54">
        <v>152</v>
      </c>
      <c r="D54">
        <v>130</v>
      </c>
      <c r="E54">
        <v>180</v>
      </c>
      <c r="F54">
        <v>153</v>
      </c>
      <c r="G54">
        <v>131</v>
      </c>
      <c r="H54">
        <v>321.91061452513969</v>
      </c>
      <c r="I54">
        <v>380.42105263157902</v>
      </c>
      <c r="J54">
        <v>444.65384615384608</v>
      </c>
      <c r="K54">
        <v>208.28006978817859</v>
      </c>
      <c r="L54">
        <v>254.75461576944639</v>
      </c>
      <c r="M54">
        <v>263.2719792583552</v>
      </c>
      <c r="N54">
        <v>151</v>
      </c>
      <c r="O54">
        <v>151</v>
      </c>
      <c r="P54">
        <v>151</v>
      </c>
      <c r="Q54">
        <v>1378</v>
      </c>
      <c r="R54">
        <v>1392</v>
      </c>
      <c r="S54">
        <v>1303</v>
      </c>
      <c r="T54">
        <v>6</v>
      </c>
      <c r="U54">
        <v>10</v>
      </c>
      <c r="V54">
        <v>8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24</v>
      </c>
      <c r="C58">
        <v>25</v>
      </c>
      <c r="D58">
        <v>5</v>
      </c>
      <c r="E58">
        <v>25</v>
      </c>
      <c r="F58">
        <v>26</v>
      </c>
      <c r="G58">
        <v>6</v>
      </c>
      <c r="H58">
        <v>214.875</v>
      </c>
      <c r="I58">
        <v>242.32</v>
      </c>
      <c r="J58">
        <v>823.4</v>
      </c>
      <c r="K58">
        <v>12.522371285371459</v>
      </c>
      <c r="L58">
        <v>142.33432474283919</v>
      </c>
      <c r="M58">
        <v>749.97786634006741</v>
      </c>
      <c r="N58">
        <v>201</v>
      </c>
      <c r="O58">
        <v>201</v>
      </c>
      <c r="P58">
        <v>228</v>
      </c>
      <c r="Q58">
        <v>255</v>
      </c>
      <c r="R58">
        <v>924</v>
      </c>
      <c r="S58">
        <v>1942</v>
      </c>
      <c r="T58">
        <v>0</v>
      </c>
      <c r="U58">
        <v>0</v>
      </c>
      <c r="V58">
        <v>2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251</v>
      </c>
      <c r="C63">
        <v>25</v>
      </c>
      <c r="D63">
        <v>11</v>
      </c>
      <c r="E63">
        <v>252</v>
      </c>
      <c r="F63">
        <v>26</v>
      </c>
      <c r="G63">
        <v>12</v>
      </c>
      <c r="H63">
        <v>266.87250996015928</v>
      </c>
      <c r="I63">
        <v>2623.68</v>
      </c>
      <c r="J63">
        <v>1865.545454545455</v>
      </c>
      <c r="K63">
        <v>201.2762471859879</v>
      </c>
      <c r="L63">
        <v>4703.4921398892548</v>
      </c>
      <c r="M63">
        <v>3167.3474190128359</v>
      </c>
      <c r="N63">
        <v>156</v>
      </c>
      <c r="O63">
        <v>168</v>
      </c>
      <c r="P63">
        <v>175</v>
      </c>
      <c r="Q63">
        <v>1852</v>
      </c>
      <c r="R63">
        <v>17653</v>
      </c>
      <c r="S63">
        <v>11129</v>
      </c>
      <c r="T63">
        <v>5</v>
      </c>
      <c r="U63">
        <v>12</v>
      </c>
      <c r="V63">
        <v>5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184</v>
      </c>
      <c r="C68">
        <v>142</v>
      </c>
      <c r="D68">
        <v>175</v>
      </c>
      <c r="E68">
        <v>185</v>
      </c>
      <c r="F68">
        <v>143</v>
      </c>
      <c r="G68">
        <v>176</v>
      </c>
      <c r="H68">
        <v>402.93478260869563</v>
      </c>
      <c r="I68">
        <v>524.41549295774644</v>
      </c>
      <c r="J68">
        <v>426.39428571428567</v>
      </c>
      <c r="K68">
        <v>496.29823803701038</v>
      </c>
      <c r="L68">
        <v>442.77933032279498</v>
      </c>
      <c r="M68">
        <v>659.20997559289276</v>
      </c>
      <c r="N68">
        <v>151</v>
      </c>
      <c r="O68">
        <v>189</v>
      </c>
      <c r="P68">
        <v>151</v>
      </c>
      <c r="Q68">
        <v>5064</v>
      </c>
      <c r="R68">
        <v>3158</v>
      </c>
      <c r="S68">
        <v>6792</v>
      </c>
      <c r="T68">
        <v>10</v>
      </c>
      <c r="U68">
        <v>17</v>
      </c>
      <c r="V68">
        <v>14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320</v>
      </c>
      <c r="C72">
        <v>320</v>
      </c>
      <c r="D72">
        <v>246</v>
      </c>
      <c r="E72">
        <v>321</v>
      </c>
      <c r="F72">
        <v>321</v>
      </c>
      <c r="G72">
        <v>247</v>
      </c>
      <c r="H72">
        <v>233.90312499999999</v>
      </c>
      <c r="I72">
        <v>233.90625</v>
      </c>
      <c r="J72">
        <v>303.6260162601626</v>
      </c>
      <c r="K72">
        <v>21.544733435183261</v>
      </c>
      <c r="L72">
        <v>22.204604813453219</v>
      </c>
      <c r="M72">
        <v>120.25933870133071</v>
      </c>
      <c r="N72">
        <v>197</v>
      </c>
      <c r="O72">
        <v>203</v>
      </c>
      <c r="P72">
        <v>151</v>
      </c>
      <c r="Q72">
        <v>432</v>
      </c>
      <c r="R72">
        <v>433</v>
      </c>
      <c r="S72">
        <v>978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136</v>
      </c>
      <c r="C77">
        <v>121</v>
      </c>
      <c r="D77">
        <v>74</v>
      </c>
      <c r="E77">
        <v>137</v>
      </c>
      <c r="F77">
        <v>122</v>
      </c>
      <c r="G77">
        <v>75</v>
      </c>
      <c r="H77">
        <v>542.49264705882354</v>
      </c>
      <c r="I77">
        <v>605.97520661157023</v>
      </c>
      <c r="J77">
        <v>990.87837837837833</v>
      </c>
      <c r="K77">
        <v>1456.5451055116621</v>
      </c>
      <c r="L77">
        <v>1599.229603396637</v>
      </c>
      <c r="M77">
        <v>2209.9536966122018</v>
      </c>
      <c r="N77">
        <v>184</v>
      </c>
      <c r="O77">
        <v>181</v>
      </c>
      <c r="P77">
        <v>168</v>
      </c>
      <c r="Q77">
        <v>16431</v>
      </c>
      <c r="R77">
        <v>16432</v>
      </c>
      <c r="S77">
        <v>17503</v>
      </c>
      <c r="T77">
        <v>10</v>
      </c>
      <c r="U77">
        <v>11</v>
      </c>
      <c r="V77">
        <v>13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316</v>
      </c>
      <c r="C80">
        <v>304</v>
      </c>
      <c r="D80">
        <v>75</v>
      </c>
      <c r="E80">
        <v>317</v>
      </c>
      <c r="F80">
        <v>305</v>
      </c>
      <c r="G80">
        <v>76</v>
      </c>
      <c r="H80">
        <v>238.3132911392405</v>
      </c>
      <c r="I80">
        <v>247.71710526315789</v>
      </c>
      <c r="J80">
        <v>744.42666666666662</v>
      </c>
      <c r="K80">
        <v>29.149313704639379</v>
      </c>
      <c r="L80">
        <v>71.687156585511289</v>
      </c>
      <c r="M80">
        <v>2342.0528081228299</v>
      </c>
      <c r="N80">
        <v>188</v>
      </c>
      <c r="O80">
        <v>181</v>
      </c>
      <c r="P80">
        <v>151</v>
      </c>
      <c r="Q80">
        <v>477</v>
      </c>
      <c r="R80">
        <v>927</v>
      </c>
      <c r="S80">
        <v>20467</v>
      </c>
      <c r="T80">
        <v>0</v>
      </c>
      <c r="U80">
        <v>0</v>
      </c>
      <c r="V80">
        <v>6</v>
      </c>
    </row>
    <row r="81" spans="1:22" x14ac:dyDescent="0.2">
      <c r="A81" s="1">
        <v>80</v>
      </c>
      <c r="B81">
        <v>74</v>
      </c>
      <c r="C81">
        <v>59</v>
      </c>
      <c r="D81">
        <v>36</v>
      </c>
      <c r="E81">
        <v>75</v>
      </c>
      <c r="F81">
        <v>60</v>
      </c>
      <c r="G81">
        <v>37</v>
      </c>
      <c r="H81">
        <v>705.93243243243239</v>
      </c>
      <c r="I81">
        <v>885.89830508474574</v>
      </c>
      <c r="J81">
        <v>1394.8055555555561</v>
      </c>
      <c r="K81">
        <v>1118.150862601495</v>
      </c>
      <c r="L81">
        <v>1250.6014924539761</v>
      </c>
      <c r="M81">
        <v>1842.3280895873399</v>
      </c>
      <c r="N81">
        <v>161</v>
      </c>
      <c r="O81">
        <v>183</v>
      </c>
      <c r="P81">
        <v>244</v>
      </c>
      <c r="Q81">
        <v>8248</v>
      </c>
      <c r="R81">
        <v>8247</v>
      </c>
      <c r="S81">
        <v>8493</v>
      </c>
      <c r="T81">
        <v>17</v>
      </c>
      <c r="U81">
        <v>18</v>
      </c>
      <c r="V81">
        <v>12</v>
      </c>
    </row>
    <row r="82" spans="1:22" x14ac:dyDescent="0.2">
      <c r="A82" s="1">
        <v>81</v>
      </c>
    </row>
    <row r="83" spans="1:22" x14ac:dyDescent="0.2">
      <c r="A83" s="1">
        <v>82</v>
      </c>
      <c r="B83">
        <v>76</v>
      </c>
      <c r="C83">
        <v>204</v>
      </c>
      <c r="D83">
        <v>1</v>
      </c>
      <c r="E83">
        <v>1</v>
      </c>
      <c r="F83">
        <v>1</v>
      </c>
      <c r="G83">
        <v>645</v>
      </c>
      <c r="H83">
        <v>11516.76315789474</v>
      </c>
      <c r="I83">
        <v>366.23529411764707</v>
      </c>
      <c r="J83">
        <v>55540</v>
      </c>
      <c r="K83">
        <v>7913.8567283272969</v>
      </c>
      <c r="L83">
        <v>422.7475967653146</v>
      </c>
      <c r="N83">
        <v>158</v>
      </c>
      <c r="O83">
        <v>180</v>
      </c>
      <c r="P83">
        <v>55540</v>
      </c>
      <c r="Q83">
        <v>28502</v>
      </c>
      <c r="R83">
        <v>6050</v>
      </c>
      <c r="S83">
        <v>55540</v>
      </c>
      <c r="T83">
        <v>72</v>
      </c>
      <c r="U83">
        <v>3</v>
      </c>
      <c r="V83">
        <v>1</v>
      </c>
    </row>
    <row r="84" spans="1:22" x14ac:dyDescent="0.2">
      <c r="A84" s="1">
        <v>83</v>
      </c>
    </row>
    <row r="85" spans="1:22" x14ac:dyDescent="0.2">
      <c r="A85" s="1">
        <v>84</v>
      </c>
      <c r="B85">
        <v>305</v>
      </c>
      <c r="C85">
        <v>301</v>
      </c>
      <c r="D85">
        <v>35</v>
      </c>
      <c r="E85">
        <v>306</v>
      </c>
      <c r="F85">
        <v>302</v>
      </c>
      <c r="G85">
        <v>36</v>
      </c>
      <c r="H85">
        <v>245.40327868852461</v>
      </c>
      <c r="I85">
        <v>248.6677740863787</v>
      </c>
      <c r="J85">
        <v>1866.514285714286</v>
      </c>
      <c r="K85">
        <v>88.365892233754266</v>
      </c>
      <c r="L85">
        <v>100.8728701123125</v>
      </c>
      <c r="M85">
        <v>1698.684272354006</v>
      </c>
      <c r="N85">
        <v>185</v>
      </c>
      <c r="O85">
        <v>165</v>
      </c>
      <c r="P85">
        <v>252</v>
      </c>
      <c r="Q85">
        <v>981</v>
      </c>
      <c r="R85">
        <v>1215</v>
      </c>
      <c r="S85">
        <v>9065</v>
      </c>
      <c r="T85">
        <v>0</v>
      </c>
      <c r="U85">
        <v>1</v>
      </c>
      <c r="V85">
        <v>21</v>
      </c>
    </row>
    <row r="86" spans="1:22" x14ac:dyDescent="0.2">
      <c r="A86" s="1">
        <v>85</v>
      </c>
      <c r="B86">
        <v>330</v>
      </c>
      <c r="D86">
        <v>4</v>
      </c>
      <c r="E86">
        <v>331</v>
      </c>
      <c r="G86">
        <v>5</v>
      </c>
      <c r="H86">
        <v>226.18787878787879</v>
      </c>
      <c r="J86">
        <v>12875</v>
      </c>
      <c r="K86">
        <v>18.31523619683211</v>
      </c>
      <c r="M86">
        <v>11618.02800249107</v>
      </c>
      <c r="N86">
        <v>181</v>
      </c>
      <c r="P86">
        <v>528</v>
      </c>
      <c r="Q86">
        <v>393</v>
      </c>
      <c r="S86">
        <v>26768</v>
      </c>
      <c r="T86">
        <v>0</v>
      </c>
      <c r="V86">
        <v>3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  <row r="93" spans="1:22" x14ac:dyDescent="0.2">
      <c r="H93">
        <f>MEDIAN(H2:H91)</f>
        <v>249.3766233766234</v>
      </c>
      <c r="I93">
        <f>MEDIAN(I2:I91)</f>
        <v>249.4</v>
      </c>
      <c r="J93">
        <f>MEDIAN(J2:J91)</f>
        <v>744.42666666666662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V91"/>
  <sheetViews>
    <sheetView workbookViewId="0">
      <selection activeCell="E2" sqref="E2:G91"/>
    </sheetView>
  </sheetViews>
  <sheetFormatPr baseColWidth="10" defaultColWidth="8.83203125" defaultRowHeight="15" x14ac:dyDescent="0.2"/>
  <sheetData>
    <row r="1" spans="1:22" x14ac:dyDescent="0.2">
      <c r="A1" s="1" t="s">
        <v>44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203</v>
      </c>
      <c r="C2">
        <v>204</v>
      </c>
      <c r="D2">
        <v>13</v>
      </c>
      <c r="E2">
        <v>204</v>
      </c>
      <c r="F2">
        <v>205</v>
      </c>
      <c r="G2">
        <v>14</v>
      </c>
      <c r="H2">
        <v>412.6847290640394</v>
      </c>
      <c r="I2">
        <v>409.45098039215691</v>
      </c>
      <c r="J2">
        <v>5024.6153846153848</v>
      </c>
      <c r="K2">
        <v>230.5239815133618</v>
      </c>
      <c r="L2">
        <v>238.11220302739881</v>
      </c>
      <c r="M2">
        <v>8583.3463029526101</v>
      </c>
      <c r="N2">
        <v>243</v>
      </c>
      <c r="O2">
        <v>243</v>
      </c>
      <c r="P2">
        <v>329</v>
      </c>
      <c r="Q2">
        <v>2011</v>
      </c>
      <c r="R2">
        <v>2309</v>
      </c>
      <c r="S2">
        <v>31443</v>
      </c>
      <c r="T2">
        <v>7</v>
      </c>
      <c r="U2">
        <v>6</v>
      </c>
      <c r="V2">
        <v>10</v>
      </c>
    </row>
    <row r="3" spans="1:22" x14ac:dyDescent="0.2">
      <c r="A3" s="1">
        <v>2</v>
      </c>
      <c r="B3">
        <v>236</v>
      </c>
      <c r="C3">
        <v>235</v>
      </c>
      <c r="D3">
        <v>235</v>
      </c>
      <c r="E3">
        <v>237</v>
      </c>
      <c r="F3">
        <v>236</v>
      </c>
      <c r="G3">
        <v>236</v>
      </c>
      <c r="H3">
        <v>379.16949152542372</v>
      </c>
      <c r="I3">
        <v>379.39574468085112</v>
      </c>
      <c r="J3">
        <v>379.38723404255319</v>
      </c>
      <c r="K3">
        <v>35.19678541529241</v>
      </c>
      <c r="L3">
        <v>31.578838780708079</v>
      </c>
      <c r="M3">
        <v>31.87487299804614</v>
      </c>
      <c r="N3">
        <v>295</v>
      </c>
      <c r="O3">
        <v>323</v>
      </c>
      <c r="P3">
        <v>321</v>
      </c>
      <c r="Q3">
        <v>496</v>
      </c>
      <c r="R3">
        <v>465</v>
      </c>
      <c r="S3">
        <v>466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</row>
    <row r="9" spans="1:22" x14ac:dyDescent="0.2">
      <c r="A9" s="1">
        <v>8</v>
      </c>
      <c r="B9">
        <v>161</v>
      </c>
      <c r="C9">
        <v>96</v>
      </c>
      <c r="D9">
        <v>107</v>
      </c>
      <c r="E9">
        <v>162</v>
      </c>
      <c r="F9">
        <v>97</v>
      </c>
      <c r="G9">
        <v>108</v>
      </c>
      <c r="H9">
        <v>547.96273291925468</v>
      </c>
      <c r="I9">
        <v>924.15625</v>
      </c>
      <c r="J9">
        <v>829.14953271028037</v>
      </c>
      <c r="K9">
        <v>556.81675495847333</v>
      </c>
      <c r="L9">
        <v>1034.422109994144</v>
      </c>
      <c r="M9">
        <v>782.04588732494153</v>
      </c>
      <c r="N9">
        <v>161</v>
      </c>
      <c r="O9">
        <v>174</v>
      </c>
      <c r="P9">
        <v>164</v>
      </c>
      <c r="Q9">
        <v>5120</v>
      </c>
      <c r="R9">
        <v>7507</v>
      </c>
      <c r="S9">
        <v>4082</v>
      </c>
      <c r="T9">
        <v>15</v>
      </c>
      <c r="U9">
        <v>29</v>
      </c>
      <c r="V9">
        <v>29</v>
      </c>
    </row>
    <row r="10" spans="1:22" x14ac:dyDescent="0.2">
      <c r="A10" s="1">
        <v>9</v>
      </c>
      <c r="B10">
        <v>75</v>
      </c>
      <c r="C10">
        <v>71</v>
      </c>
      <c r="D10">
        <v>75</v>
      </c>
      <c r="E10">
        <v>76</v>
      </c>
      <c r="F10">
        <v>72</v>
      </c>
      <c r="G10">
        <v>76</v>
      </c>
      <c r="H10">
        <v>357.01333333333332</v>
      </c>
      <c r="I10">
        <v>376.3943661971831</v>
      </c>
      <c r="J10">
        <v>357</v>
      </c>
      <c r="K10">
        <v>25.174790765567248</v>
      </c>
      <c r="L10">
        <v>110.8881648809465</v>
      </c>
      <c r="M10">
        <v>24.988646070414308</v>
      </c>
      <c r="N10">
        <v>313</v>
      </c>
      <c r="O10">
        <v>272</v>
      </c>
      <c r="P10">
        <v>313</v>
      </c>
      <c r="Q10">
        <v>409</v>
      </c>
      <c r="R10">
        <v>1056</v>
      </c>
      <c r="S10">
        <v>410</v>
      </c>
      <c r="T10">
        <v>0</v>
      </c>
      <c r="U10">
        <v>1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C14">
        <v>8</v>
      </c>
      <c r="D14">
        <v>3</v>
      </c>
      <c r="F14">
        <v>9</v>
      </c>
      <c r="G14">
        <v>4</v>
      </c>
      <c r="I14">
        <v>4642.875</v>
      </c>
      <c r="J14">
        <v>13472</v>
      </c>
      <c r="L14">
        <v>7622.1529099161253</v>
      </c>
      <c r="M14">
        <v>22825.00418400838</v>
      </c>
      <c r="O14">
        <v>193</v>
      </c>
      <c r="P14">
        <v>252</v>
      </c>
      <c r="R14">
        <v>22964</v>
      </c>
      <c r="S14">
        <v>39828</v>
      </c>
      <c r="U14">
        <v>5</v>
      </c>
      <c r="V14">
        <v>1</v>
      </c>
    </row>
    <row r="15" spans="1:22" x14ac:dyDescent="0.2">
      <c r="A15" s="1">
        <v>14</v>
      </c>
      <c r="B15">
        <v>226</v>
      </c>
      <c r="C15">
        <v>227</v>
      </c>
      <c r="D15">
        <v>174</v>
      </c>
      <c r="E15">
        <v>227</v>
      </c>
      <c r="F15">
        <v>228</v>
      </c>
      <c r="G15">
        <v>175</v>
      </c>
      <c r="H15">
        <v>394.4159292035398</v>
      </c>
      <c r="I15">
        <v>394.26872246696041</v>
      </c>
      <c r="J15">
        <v>421.0344827586207</v>
      </c>
      <c r="K15">
        <v>33.658078287710246</v>
      </c>
      <c r="L15">
        <v>32.343332937853347</v>
      </c>
      <c r="M15">
        <v>276.55119829437479</v>
      </c>
      <c r="N15">
        <v>281</v>
      </c>
      <c r="O15">
        <v>313</v>
      </c>
      <c r="P15">
        <v>176</v>
      </c>
      <c r="Q15">
        <v>484</v>
      </c>
      <c r="R15">
        <v>483</v>
      </c>
      <c r="S15">
        <v>3932</v>
      </c>
      <c r="T15">
        <v>0</v>
      </c>
      <c r="U15">
        <v>0</v>
      </c>
      <c r="V15">
        <v>1</v>
      </c>
    </row>
    <row r="16" spans="1:22" x14ac:dyDescent="0.2">
      <c r="A16" s="1">
        <v>15</v>
      </c>
    </row>
    <row r="17" spans="1:22" x14ac:dyDescent="0.2">
      <c r="A17" s="1">
        <v>16</v>
      </c>
      <c r="B17">
        <v>265</v>
      </c>
      <c r="C17">
        <v>264</v>
      </c>
      <c r="D17">
        <v>265</v>
      </c>
      <c r="E17">
        <v>266</v>
      </c>
      <c r="F17">
        <v>265</v>
      </c>
      <c r="G17">
        <v>266</v>
      </c>
      <c r="H17">
        <v>337.7358490566038</v>
      </c>
      <c r="I17">
        <v>339.02651515151513</v>
      </c>
      <c r="J17">
        <v>337.74716981132082</v>
      </c>
      <c r="K17">
        <v>36.063050291687283</v>
      </c>
      <c r="L17">
        <v>37.750875113566217</v>
      </c>
      <c r="M17">
        <v>34.861308563545357</v>
      </c>
      <c r="N17">
        <v>247</v>
      </c>
      <c r="O17">
        <v>275</v>
      </c>
      <c r="P17">
        <v>274</v>
      </c>
      <c r="Q17">
        <v>456</v>
      </c>
      <c r="R17">
        <v>585</v>
      </c>
      <c r="S17">
        <v>457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238</v>
      </c>
      <c r="C19">
        <v>238</v>
      </c>
      <c r="D19">
        <v>239</v>
      </c>
      <c r="E19">
        <v>239</v>
      </c>
      <c r="F19">
        <v>239</v>
      </c>
      <c r="G19">
        <v>240</v>
      </c>
      <c r="H19">
        <v>375.24369747899158</v>
      </c>
      <c r="I19">
        <v>375.24369747899158</v>
      </c>
      <c r="J19">
        <v>373.673640167364</v>
      </c>
      <c r="K19">
        <v>35.675628761618022</v>
      </c>
      <c r="L19">
        <v>36.861347321487763</v>
      </c>
      <c r="M19">
        <v>43.859331286457007</v>
      </c>
      <c r="N19">
        <v>191</v>
      </c>
      <c r="O19">
        <v>199</v>
      </c>
      <c r="P19">
        <v>175</v>
      </c>
      <c r="Q19">
        <v>530</v>
      </c>
      <c r="R19">
        <v>520</v>
      </c>
      <c r="S19">
        <v>528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149</v>
      </c>
      <c r="C23">
        <v>144</v>
      </c>
      <c r="D23">
        <v>137</v>
      </c>
      <c r="E23">
        <v>150</v>
      </c>
      <c r="F23">
        <v>145</v>
      </c>
      <c r="G23">
        <v>138</v>
      </c>
      <c r="H23">
        <v>376.86577181208048</v>
      </c>
      <c r="I23">
        <v>389.73611111111109</v>
      </c>
      <c r="J23">
        <v>409.66423357664229</v>
      </c>
      <c r="K23">
        <v>58.423160175049333</v>
      </c>
      <c r="L23">
        <v>73.828944814774999</v>
      </c>
      <c r="M23">
        <v>149.34387270423241</v>
      </c>
      <c r="N23">
        <v>179</v>
      </c>
      <c r="O23">
        <v>195</v>
      </c>
      <c r="P23">
        <v>156</v>
      </c>
      <c r="Q23">
        <v>502</v>
      </c>
      <c r="R23">
        <v>1093</v>
      </c>
      <c r="S23">
        <v>1364</v>
      </c>
      <c r="T23">
        <v>0</v>
      </c>
      <c r="U23">
        <v>1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15</v>
      </c>
      <c r="C25">
        <v>3</v>
      </c>
      <c r="D25">
        <v>10</v>
      </c>
      <c r="E25">
        <v>16</v>
      </c>
      <c r="F25">
        <v>4</v>
      </c>
      <c r="G25">
        <v>11</v>
      </c>
      <c r="H25">
        <v>4629.6000000000004</v>
      </c>
      <c r="I25">
        <v>3525.666666666667</v>
      </c>
      <c r="J25">
        <v>6889</v>
      </c>
      <c r="K25">
        <v>10998.362383295331</v>
      </c>
      <c r="L25">
        <v>3523.943293149498</v>
      </c>
      <c r="M25">
        <v>13016.124137221321</v>
      </c>
      <c r="N25">
        <v>241</v>
      </c>
      <c r="O25">
        <v>241</v>
      </c>
      <c r="P25">
        <v>241</v>
      </c>
      <c r="Q25">
        <v>43968</v>
      </c>
      <c r="R25">
        <v>7248</v>
      </c>
      <c r="S25">
        <v>43412</v>
      </c>
      <c r="T25">
        <v>9</v>
      </c>
      <c r="U25">
        <v>2</v>
      </c>
      <c r="V25">
        <v>7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253</v>
      </c>
      <c r="C31">
        <v>253</v>
      </c>
      <c r="D31">
        <v>243</v>
      </c>
      <c r="E31">
        <v>254</v>
      </c>
      <c r="F31">
        <v>254</v>
      </c>
      <c r="G31">
        <v>244</v>
      </c>
      <c r="H31">
        <v>354.15415019762838</v>
      </c>
      <c r="I31">
        <v>353.76679841897231</v>
      </c>
      <c r="J31">
        <v>368.31687242798353</v>
      </c>
      <c r="K31">
        <v>31.52631730958019</v>
      </c>
      <c r="L31">
        <v>41.011092242604633</v>
      </c>
      <c r="M31">
        <v>105.1422609835043</v>
      </c>
      <c r="N31">
        <v>173</v>
      </c>
      <c r="O31">
        <v>164</v>
      </c>
      <c r="P31">
        <v>164</v>
      </c>
      <c r="Q31">
        <v>494</v>
      </c>
      <c r="R31">
        <v>716</v>
      </c>
      <c r="S31">
        <v>1432</v>
      </c>
      <c r="T31">
        <v>0</v>
      </c>
      <c r="U31">
        <v>0</v>
      </c>
      <c r="V31">
        <v>2</v>
      </c>
    </row>
    <row r="32" spans="1:22" x14ac:dyDescent="0.2">
      <c r="A32" s="1">
        <v>31</v>
      </c>
      <c r="B32">
        <v>251</v>
      </c>
      <c r="C32">
        <v>128</v>
      </c>
      <c r="D32">
        <v>3</v>
      </c>
      <c r="E32">
        <v>252</v>
      </c>
      <c r="F32">
        <v>129</v>
      </c>
      <c r="G32">
        <v>4</v>
      </c>
      <c r="H32">
        <v>357.27888446215138</v>
      </c>
      <c r="I32">
        <v>371.4609375</v>
      </c>
      <c r="J32">
        <v>984.66666666666663</v>
      </c>
      <c r="K32">
        <v>112.980396141767</v>
      </c>
      <c r="L32">
        <v>209.59814953591061</v>
      </c>
      <c r="M32">
        <v>823.72467082960031</v>
      </c>
      <c r="N32">
        <v>173</v>
      </c>
      <c r="O32">
        <v>191</v>
      </c>
      <c r="P32">
        <v>421</v>
      </c>
      <c r="Q32">
        <v>1288</v>
      </c>
      <c r="R32">
        <v>2124</v>
      </c>
      <c r="S32">
        <v>1930</v>
      </c>
      <c r="T32">
        <v>3</v>
      </c>
      <c r="U32">
        <v>2</v>
      </c>
      <c r="V32">
        <v>1</v>
      </c>
    </row>
    <row r="33" spans="1:22" x14ac:dyDescent="0.2">
      <c r="A33" s="1">
        <v>32</v>
      </c>
    </row>
    <row r="34" spans="1:22" x14ac:dyDescent="0.2">
      <c r="A34" s="1">
        <v>33</v>
      </c>
      <c r="B34">
        <v>165</v>
      </c>
      <c r="C34">
        <v>171</v>
      </c>
      <c r="D34">
        <v>174</v>
      </c>
      <c r="E34">
        <v>166</v>
      </c>
      <c r="F34">
        <v>172</v>
      </c>
      <c r="G34">
        <v>175</v>
      </c>
      <c r="H34">
        <v>425.95757575757568</v>
      </c>
      <c r="I34">
        <v>411.01169590643269</v>
      </c>
      <c r="J34">
        <v>404.78160919540232</v>
      </c>
      <c r="K34">
        <v>65.407573171870212</v>
      </c>
      <c r="L34">
        <v>82.20970232593443</v>
      </c>
      <c r="M34">
        <v>146.13980362370779</v>
      </c>
      <c r="N34">
        <v>175</v>
      </c>
      <c r="O34">
        <v>156</v>
      </c>
      <c r="P34">
        <v>157</v>
      </c>
      <c r="Q34">
        <v>564</v>
      </c>
      <c r="R34">
        <v>556</v>
      </c>
      <c r="S34">
        <v>1372</v>
      </c>
      <c r="T34">
        <v>0</v>
      </c>
      <c r="U34">
        <v>0</v>
      </c>
      <c r="V34">
        <v>1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180</v>
      </c>
      <c r="C43">
        <v>177</v>
      </c>
      <c r="D43">
        <v>189</v>
      </c>
      <c r="E43">
        <v>181</v>
      </c>
      <c r="F43">
        <v>178</v>
      </c>
      <c r="G43">
        <v>190</v>
      </c>
      <c r="H43">
        <v>447.2</v>
      </c>
      <c r="I43">
        <v>454.78531073446328</v>
      </c>
      <c r="J43">
        <v>425.90476190476193</v>
      </c>
      <c r="K43">
        <v>36.802264929085737</v>
      </c>
      <c r="L43">
        <v>71.620680173075939</v>
      </c>
      <c r="M43">
        <v>101.51533490997549</v>
      </c>
      <c r="N43">
        <v>184</v>
      </c>
      <c r="O43">
        <v>205</v>
      </c>
      <c r="P43">
        <v>152</v>
      </c>
      <c r="Q43">
        <v>487</v>
      </c>
      <c r="R43">
        <v>1322</v>
      </c>
      <c r="S43">
        <v>1036</v>
      </c>
      <c r="T43">
        <v>0</v>
      </c>
      <c r="U43">
        <v>1</v>
      </c>
      <c r="V43">
        <v>1</v>
      </c>
    </row>
    <row r="44" spans="1:22" x14ac:dyDescent="0.2">
      <c r="A44" s="1">
        <v>43</v>
      </c>
    </row>
    <row r="45" spans="1:22" x14ac:dyDescent="0.2">
      <c r="A45" s="1">
        <v>44</v>
      </c>
      <c r="B45">
        <v>243</v>
      </c>
      <c r="C45">
        <v>239</v>
      </c>
      <c r="D45">
        <v>212</v>
      </c>
      <c r="E45">
        <v>244</v>
      </c>
      <c r="F45">
        <v>240</v>
      </c>
      <c r="G45">
        <v>213</v>
      </c>
      <c r="H45">
        <v>370.06584362139921</v>
      </c>
      <c r="I45">
        <v>376.25941422594138</v>
      </c>
      <c r="J45">
        <v>422.2641509433962</v>
      </c>
      <c r="K45">
        <v>38.15523677011727</v>
      </c>
      <c r="L45">
        <v>54.889649279028511</v>
      </c>
      <c r="M45">
        <v>254.56297657064729</v>
      </c>
      <c r="N45">
        <v>167</v>
      </c>
      <c r="O45">
        <v>262</v>
      </c>
      <c r="P45">
        <v>160</v>
      </c>
      <c r="Q45">
        <v>475</v>
      </c>
      <c r="R45">
        <v>1092</v>
      </c>
      <c r="S45">
        <v>2468</v>
      </c>
      <c r="T45">
        <v>0</v>
      </c>
      <c r="U45">
        <v>1</v>
      </c>
      <c r="V45">
        <v>6</v>
      </c>
    </row>
    <row r="46" spans="1:22" x14ac:dyDescent="0.2">
      <c r="A46" s="1">
        <v>45</v>
      </c>
      <c r="B46">
        <v>100</v>
      </c>
      <c r="C46">
        <v>250</v>
      </c>
      <c r="D46">
        <v>131</v>
      </c>
      <c r="E46">
        <v>101</v>
      </c>
      <c r="F46">
        <v>251</v>
      </c>
      <c r="G46">
        <v>132</v>
      </c>
      <c r="H46">
        <v>891.68</v>
      </c>
      <c r="I46">
        <v>357.08800000000002</v>
      </c>
      <c r="J46">
        <v>683.3129770992366</v>
      </c>
      <c r="K46">
        <v>842.70166641929609</v>
      </c>
      <c r="L46">
        <v>67.242415376775483</v>
      </c>
      <c r="M46">
        <v>493.01646226172682</v>
      </c>
      <c r="N46">
        <v>164</v>
      </c>
      <c r="O46">
        <v>192</v>
      </c>
      <c r="P46">
        <v>191</v>
      </c>
      <c r="Q46">
        <v>4852</v>
      </c>
      <c r="R46">
        <v>682</v>
      </c>
      <c r="S46">
        <v>2547</v>
      </c>
      <c r="T46">
        <v>28</v>
      </c>
      <c r="U46">
        <v>0</v>
      </c>
      <c r="V46">
        <v>26</v>
      </c>
    </row>
    <row r="47" spans="1:22" x14ac:dyDescent="0.2">
      <c r="A47" s="1">
        <v>46</v>
      </c>
      <c r="B47">
        <v>235</v>
      </c>
      <c r="C47">
        <v>239</v>
      </c>
      <c r="D47">
        <v>121</v>
      </c>
      <c r="E47">
        <v>236</v>
      </c>
      <c r="F47">
        <v>240</v>
      </c>
      <c r="G47">
        <v>122</v>
      </c>
      <c r="H47">
        <v>379.11914893617018</v>
      </c>
      <c r="I47">
        <v>374.59414225941418</v>
      </c>
      <c r="J47">
        <v>740.08264462809916</v>
      </c>
      <c r="K47">
        <v>48.185834347360093</v>
      </c>
      <c r="L47">
        <v>40.95917376025222</v>
      </c>
      <c r="M47">
        <v>562.28509356578274</v>
      </c>
      <c r="N47">
        <v>288</v>
      </c>
      <c r="O47">
        <v>191</v>
      </c>
      <c r="P47">
        <v>184</v>
      </c>
      <c r="Q47">
        <v>792</v>
      </c>
      <c r="R47">
        <v>764</v>
      </c>
      <c r="S47">
        <v>2967</v>
      </c>
      <c r="T47">
        <v>0</v>
      </c>
      <c r="U47">
        <v>0</v>
      </c>
      <c r="V47">
        <v>28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247</v>
      </c>
      <c r="C51">
        <v>248</v>
      </c>
      <c r="D51">
        <v>234</v>
      </c>
      <c r="E51">
        <v>248</v>
      </c>
      <c r="F51">
        <v>249</v>
      </c>
      <c r="G51">
        <v>235</v>
      </c>
      <c r="H51">
        <v>362.82995951417001</v>
      </c>
      <c r="I51">
        <v>362.71774193548379</v>
      </c>
      <c r="J51">
        <v>382.39743589743591</v>
      </c>
      <c r="K51">
        <v>27.508672564457139</v>
      </c>
      <c r="L51">
        <v>26.944555603347371</v>
      </c>
      <c r="M51">
        <v>147.7761623418584</v>
      </c>
      <c r="N51">
        <v>292</v>
      </c>
      <c r="O51">
        <v>292</v>
      </c>
      <c r="P51">
        <v>156</v>
      </c>
      <c r="Q51">
        <v>436</v>
      </c>
      <c r="R51">
        <v>436</v>
      </c>
      <c r="S51">
        <v>1883</v>
      </c>
      <c r="T51">
        <v>0</v>
      </c>
      <c r="U51">
        <v>0</v>
      </c>
      <c r="V51">
        <v>3</v>
      </c>
    </row>
    <row r="52" spans="1:22" x14ac:dyDescent="0.2">
      <c r="A52" s="1">
        <v>51</v>
      </c>
      <c r="B52">
        <v>187</v>
      </c>
      <c r="C52">
        <v>188</v>
      </c>
      <c r="D52">
        <v>188</v>
      </c>
      <c r="E52">
        <v>188</v>
      </c>
      <c r="F52">
        <v>189</v>
      </c>
      <c r="G52">
        <v>189</v>
      </c>
      <c r="H52">
        <v>478.40106951871661</v>
      </c>
      <c r="I52">
        <v>475.85638297872339</v>
      </c>
      <c r="J52">
        <v>475.85638297872339</v>
      </c>
      <c r="K52">
        <v>97.348197783796721</v>
      </c>
      <c r="L52">
        <v>107.5364662024831</v>
      </c>
      <c r="M52">
        <v>108.2284453189272</v>
      </c>
      <c r="N52">
        <v>161</v>
      </c>
      <c r="O52">
        <v>157</v>
      </c>
      <c r="P52">
        <v>157</v>
      </c>
      <c r="Q52">
        <v>1112</v>
      </c>
      <c r="R52">
        <v>1418</v>
      </c>
      <c r="S52">
        <v>1108</v>
      </c>
      <c r="T52">
        <v>1</v>
      </c>
      <c r="U52">
        <v>1</v>
      </c>
      <c r="V52">
        <v>2</v>
      </c>
    </row>
    <row r="53" spans="1:22" x14ac:dyDescent="0.2">
      <c r="A53" s="1">
        <v>52</v>
      </c>
    </row>
    <row r="54" spans="1:22" x14ac:dyDescent="0.2">
      <c r="A54" s="1">
        <v>53</v>
      </c>
      <c r="B54">
        <v>190</v>
      </c>
      <c r="C54">
        <v>190</v>
      </c>
      <c r="D54">
        <v>71</v>
      </c>
      <c r="E54">
        <v>191</v>
      </c>
      <c r="F54">
        <v>191</v>
      </c>
      <c r="G54">
        <v>72</v>
      </c>
      <c r="H54">
        <v>470.45789473684209</v>
      </c>
      <c r="I54">
        <v>470.45263157894738</v>
      </c>
      <c r="J54">
        <v>1257.3098591549301</v>
      </c>
      <c r="K54">
        <v>24.16950318962526</v>
      </c>
      <c r="L54">
        <v>24.034705251577648</v>
      </c>
      <c r="M54">
        <v>2069.304124520741</v>
      </c>
      <c r="N54">
        <v>419</v>
      </c>
      <c r="O54">
        <v>420</v>
      </c>
      <c r="P54">
        <v>172</v>
      </c>
      <c r="Q54">
        <v>529</v>
      </c>
      <c r="R54">
        <v>529</v>
      </c>
      <c r="S54">
        <v>14867</v>
      </c>
      <c r="T54">
        <v>0</v>
      </c>
      <c r="U54">
        <v>0</v>
      </c>
      <c r="V54">
        <v>23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238</v>
      </c>
      <c r="C58">
        <v>241</v>
      </c>
      <c r="D58">
        <v>240</v>
      </c>
      <c r="E58">
        <v>239</v>
      </c>
      <c r="F58">
        <v>242</v>
      </c>
      <c r="G58">
        <v>241</v>
      </c>
      <c r="H58">
        <v>376.37815126050418</v>
      </c>
      <c r="I58">
        <v>371.69294605809131</v>
      </c>
      <c r="J58">
        <v>373.25</v>
      </c>
      <c r="K58">
        <v>77.997348391220413</v>
      </c>
      <c r="L58">
        <v>83.421801657008373</v>
      </c>
      <c r="M58">
        <v>83.098343714140739</v>
      </c>
      <c r="N58">
        <v>224</v>
      </c>
      <c r="O58">
        <v>178</v>
      </c>
      <c r="P58">
        <v>169</v>
      </c>
      <c r="Q58">
        <v>1308</v>
      </c>
      <c r="R58">
        <v>1305</v>
      </c>
      <c r="S58">
        <v>1308</v>
      </c>
      <c r="T58">
        <v>1</v>
      </c>
      <c r="U58">
        <v>1</v>
      </c>
      <c r="V58">
        <v>1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7</v>
      </c>
      <c r="C63">
        <v>90</v>
      </c>
      <c r="D63">
        <v>14</v>
      </c>
      <c r="E63">
        <v>8</v>
      </c>
      <c r="F63">
        <v>91</v>
      </c>
      <c r="G63">
        <v>15</v>
      </c>
      <c r="H63">
        <v>3785.571428571428</v>
      </c>
      <c r="I63">
        <v>315.9111111111111</v>
      </c>
      <c r="J63">
        <v>1737.714285714286</v>
      </c>
      <c r="K63">
        <v>3744.072197360465</v>
      </c>
      <c r="L63">
        <v>74.772710945386663</v>
      </c>
      <c r="M63">
        <v>2954.077506107094</v>
      </c>
      <c r="N63">
        <v>332</v>
      </c>
      <c r="O63">
        <v>249</v>
      </c>
      <c r="P63">
        <v>228</v>
      </c>
      <c r="Q63">
        <v>10439</v>
      </c>
      <c r="R63">
        <v>931</v>
      </c>
      <c r="S63">
        <v>9540</v>
      </c>
      <c r="T63">
        <v>5</v>
      </c>
      <c r="U63">
        <v>0</v>
      </c>
      <c r="V63">
        <v>3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285</v>
      </c>
      <c r="C72">
        <v>284</v>
      </c>
      <c r="D72">
        <v>239</v>
      </c>
      <c r="E72">
        <v>286</v>
      </c>
      <c r="F72">
        <v>285</v>
      </c>
      <c r="G72">
        <v>240</v>
      </c>
      <c r="H72">
        <v>314.57894736842098</v>
      </c>
      <c r="I72">
        <v>315.67957746478868</v>
      </c>
      <c r="J72">
        <v>373.76150627615061</v>
      </c>
      <c r="K72">
        <v>35.853058568931331</v>
      </c>
      <c r="L72">
        <v>32.173988217845093</v>
      </c>
      <c r="M72">
        <v>180.96614435513521</v>
      </c>
      <c r="N72">
        <v>255</v>
      </c>
      <c r="O72">
        <v>198</v>
      </c>
      <c r="P72">
        <v>172</v>
      </c>
      <c r="Q72">
        <v>636</v>
      </c>
      <c r="R72">
        <v>629</v>
      </c>
      <c r="S72">
        <v>1269</v>
      </c>
      <c r="T72">
        <v>0</v>
      </c>
      <c r="U72">
        <v>0</v>
      </c>
      <c r="V72">
        <v>6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254</v>
      </c>
      <c r="C77">
        <v>277</v>
      </c>
      <c r="D77">
        <v>122</v>
      </c>
      <c r="E77">
        <v>255</v>
      </c>
      <c r="F77">
        <v>278</v>
      </c>
      <c r="G77">
        <v>123</v>
      </c>
      <c r="H77">
        <v>349.81496062992119</v>
      </c>
      <c r="I77">
        <v>323.79783393501799</v>
      </c>
      <c r="J77">
        <v>732.30327868852464</v>
      </c>
      <c r="K77">
        <v>125.1283025830316</v>
      </c>
      <c r="L77">
        <v>33.880580918973408</v>
      </c>
      <c r="M77">
        <v>755.09742012104562</v>
      </c>
      <c r="N77">
        <v>152</v>
      </c>
      <c r="O77">
        <v>175</v>
      </c>
      <c r="P77">
        <v>152</v>
      </c>
      <c r="Q77">
        <v>1257</v>
      </c>
      <c r="R77">
        <v>641</v>
      </c>
      <c r="S77">
        <v>4181</v>
      </c>
      <c r="T77">
        <v>2</v>
      </c>
      <c r="U77">
        <v>0</v>
      </c>
      <c r="V77">
        <v>22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34</v>
      </c>
      <c r="C80">
        <v>45</v>
      </c>
      <c r="D80">
        <v>43</v>
      </c>
      <c r="E80">
        <v>35</v>
      </c>
      <c r="F80">
        <v>46</v>
      </c>
      <c r="G80">
        <v>44</v>
      </c>
      <c r="H80">
        <v>1733.0294117647061</v>
      </c>
      <c r="I80">
        <v>1406.3555555555561</v>
      </c>
      <c r="J80">
        <v>1471.7674418604649</v>
      </c>
      <c r="K80">
        <v>5635.1409731245876</v>
      </c>
      <c r="L80">
        <v>3516.7309985498782</v>
      </c>
      <c r="M80">
        <v>3582.815279299421</v>
      </c>
      <c r="N80">
        <v>180</v>
      </c>
      <c r="O80">
        <v>346</v>
      </c>
      <c r="P80">
        <v>152</v>
      </c>
      <c r="Q80">
        <v>33157</v>
      </c>
      <c r="R80">
        <v>21764</v>
      </c>
      <c r="S80">
        <v>21764</v>
      </c>
      <c r="T80">
        <v>6</v>
      </c>
      <c r="U80">
        <v>8</v>
      </c>
      <c r="V80">
        <v>9</v>
      </c>
    </row>
    <row r="81" spans="1:22" x14ac:dyDescent="0.2">
      <c r="A81" s="1">
        <v>80</v>
      </c>
      <c r="B81">
        <v>251</v>
      </c>
      <c r="C81">
        <v>266</v>
      </c>
      <c r="D81">
        <v>137</v>
      </c>
      <c r="E81">
        <v>252</v>
      </c>
      <c r="F81">
        <v>267</v>
      </c>
      <c r="G81">
        <v>138</v>
      </c>
      <c r="H81">
        <v>357.93227091633469</v>
      </c>
      <c r="I81">
        <v>337.89097744360902</v>
      </c>
      <c r="J81">
        <v>648.38686131386862</v>
      </c>
      <c r="K81">
        <v>106.7789464006005</v>
      </c>
      <c r="L81">
        <v>52.543381478110128</v>
      </c>
      <c r="M81">
        <v>478.97444436579008</v>
      </c>
      <c r="N81">
        <v>163</v>
      </c>
      <c r="O81">
        <v>176</v>
      </c>
      <c r="P81">
        <v>155</v>
      </c>
      <c r="Q81">
        <v>933</v>
      </c>
      <c r="R81">
        <v>694</v>
      </c>
      <c r="S81">
        <v>2421</v>
      </c>
      <c r="T81">
        <v>0</v>
      </c>
      <c r="U81">
        <v>0</v>
      </c>
      <c r="V81">
        <v>26</v>
      </c>
    </row>
    <row r="82" spans="1:22" x14ac:dyDescent="0.2">
      <c r="A82" s="1">
        <v>81</v>
      </c>
    </row>
    <row r="83" spans="1:22" x14ac:dyDescent="0.2">
      <c r="A83" s="1">
        <v>82</v>
      </c>
      <c r="B83">
        <v>251</v>
      </c>
      <c r="C83">
        <v>251</v>
      </c>
      <c r="D83">
        <v>227</v>
      </c>
      <c r="E83">
        <v>252</v>
      </c>
      <c r="F83">
        <v>252</v>
      </c>
      <c r="G83">
        <v>1</v>
      </c>
      <c r="H83">
        <v>355.8366533864542</v>
      </c>
      <c r="I83">
        <v>355.82470119521912</v>
      </c>
      <c r="J83">
        <v>39116.731277533043</v>
      </c>
      <c r="K83">
        <v>29.58704465057939</v>
      </c>
      <c r="L83">
        <v>29.450724055791198</v>
      </c>
      <c r="M83">
        <v>22157.68280177968</v>
      </c>
      <c r="N83">
        <v>296</v>
      </c>
      <c r="O83">
        <v>296</v>
      </c>
      <c r="P83">
        <v>202</v>
      </c>
      <c r="Q83">
        <v>442</v>
      </c>
      <c r="R83">
        <v>441</v>
      </c>
      <c r="S83">
        <v>75146</v>
      </c>
      <c r="T83">
        <v>0</v>
      </c>
      <c r="U83">
        <v>0</v>
      </c>
      <c r="V83">
        <v>224</v>
      </c>
    </row>
    <row r="84" spans="1:22" x14ac:dyDescent="0.2">
      <c r="A84" s="1">
        <v>83</v>
      </c>
    </row>
    <row r="85" spans="1:22" x14ac:dyDescent="0.2">
      <c r="A85" s="1">
        <v>84</v>
      </c>
      <c r="B85">
        <v>51</v>
      </c>
      <c r="C85">
        <v>50</v>
      </c>
      <c r="D85">
        <v>27</v>
      </c>
      <c r="E85">
        <v>52</v>
      </c>
      <c r="F85">
        <v>51</v>
      </c>
      <c r="G85">
        <v>28</v>
      </c>
      <c r="H85">
        <v>1610.392156862745</v>
      </c>
      <c r="I85">
        <v>1643.06</v>
      </c>
      <c r="J85">
        <v>2845.4444444444439</v>
      </c>
      <c r="K85">
        <v>2123.925102996162</v>
      </c>
      <c r="L85">
        <v>2149.1926667415159</v>
      </c>
      <c r="M85">
        <v>3251.051845566923</v>
      </c>
      <c r="N85">
        <v>156</v>
      </c>
      <c r="O85">
        <v>156</v>
      </c>
      <c r="P85">
        <v>292</v>
      </c>
      <c r="Q85">
        <v>10465</v>
      </c>
      <c r="R85">
        <v>10512</v>
      </c>
      <c r="S85">
        <v>13099</v>
      </c>
      <c r="T85">
        <v>18</v>
      </c>
      <c r="U85">
        <v>19</v>
      </c>
      <c r="V85">
        <v>17</v>
      </c>
    </row>
    <row r="86" spans="1:22" x14ac:dyDescent="0.2">
      <c r="A86" s="1">
        <v>85</v>
      </c>
      <c r="B86">
        <v>68</v>
      </c>
      <c r="C86">
        <v>62</v>
      </c>
      <c r="D86">
        <v>64</v>
      </c>
      <c r="E86">
        <v>69</v>
      </c>
      <c r="F86">
        <v>63</v>
      </c>
      <c r="G86">
        <v>65</v>
      </c>
      <c r="H86">
        <v>1296.5588235294119</v>
      </c>
      <c r="I86">
        <v>1422.0483870967739</v>
      </c>
      <c r="J86">
        <v>1377.59375</v>
      </c>
      <c r="K86">
        <v>1105.3359775895381</v>
      </c>
      <c r="L86">
        <v>1179.6996342834491</v>
      </c>
      <c r="M86">
        <v>1166.726742926008</v>
      </c>
      <c r="N86">
        <v>160</v>
      </c>
      <c r="O86">
        <v>229</v>
      </c>
      <c r="P86">
        <v>244</v>
      </c>
      <c r="Q86">
        <v>5425</v>
      </c>
      <c r="R86">
        <v>5966</v>
      </c>
      <c r="S86">
        <v>5966</v>
      </c>
      <c r="T86">
        <v>29</v>
      </c>
      <c r="U86">
        <v>30</v>
      </c>
      <c r="V86">
        <v>30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V91"/>
  <sheetViews>
    <sheetView workbookViewId="0">
      <selection activeCell="E2" sqref="E2:G91"/>
    </sheetView>
  </sheetViews>
  <sheetFormatPr baseColWidth="10" defaultColWidth="8.83203125" defaultRowHeight="15" x14ac:dyDescent="0.2"/>
  <sheetData>
    <row r="1" spans="1:22" x14ac:dyDescent="0.2">
      <c r="A1" s="1" t="s">
        <v>42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348</v>
      </c>
      <c r="C2">
        <v>348</v>
      </c>
      <c r="D2">
        <v>348</v>
      </c>
      <c r="E2">
        <v>349</v>
      </c>
      <c r="F2">
        <v>349</v>
      </c>
      <c r="G2">
        <v>349</v>
      </c>
      <c r="H2">
        <v>243.4626436781609</v>
      </c>
      <c r="I2">
        <v>243.4655172413793</v>
      </c>
      <c r="J2">
        <v>243.4655172413793</v>
      </c>
      <c r="K2">
        <v>12.527838093013999</v>
      </c>
      <c r="L2">
        <v>12.502286385352621</v>
      </c>
      <c r="M2">
        <v>12.50574348820515</v>
      </c>
      <c r="N2">
        <v>208</v>
      </c>
      <c r="O2">
        <v>208</v>
      </c>
      <c r="P2">
        <v>208</v>
      </c>
      <c r="Q2">
        <v>284</v>
      </c>
      <c r="R2">
        <v>283</v>
      </c>
      <c r="S2">
        <v>283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365</v>
      </c>
      <c r="C3">
        <v>365</v>
      </c>
      <c r="D3">
        <v>365</v>
      </c>
      <c r="E3">
        <v>366</v>
      </c>
      <c r="F3">
        <v>366</v>
      </c>
      <c r="G3">
        <v>366</v>
      </c>
      <c r="H3">
        <v>245.62191780821919</v>
      </c>
      <c r="I3">
        <v>245.61917808219181</v>
      </c>
      <c r="J3">
        <v>245.61917808219181</v>
      </c>
      <c r="K3">
        <v>9.4888344820842345</v>
      </c>
      <c r="L3">
        <v>9.473802187824262</v>
      </c>
      <c r="M3">
        <v>9.4842358728484797</v>
      </c>
      <c r="N3">
        <v>223</v>
      </c>
      <c r="O3">
        <v>224</v>
      </c>
      <c r="P3">
        <v>224</v>
      </c>
      <c r="Q3">
        <v>278</v>
      </c>
      <c r="R3">
        <v>278</v>
      </c>
      <c r="S3">
        <v>278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</row>
    <row r="9" spans="1:22" x14ac:dyDescent="0.2">
      <c r="A9" s="1">
        <v>8</v>
      </c>
      <c r="B9">
        <v>371</v>
      </c>
      <c r="C9">
        <v>371</v>
      </c>
      <c r="D9">
        <v>10</v>
      </c>
      <c r="E9">
        <v>372</v>
      </c>
      <c r="F9">
        <v>372</v>
      </c>
      <c r="G9">
        <v>11</v>
      </c>
      <c r="H9">
        <v>241.9164420485175</v>
      </c>
      <c r="I9">
        <v>241.91374663072779</v>
      </c>
      <c r="J9">
        <v>6386.3</v>
      </c>
      <c r="K9">
        <v>12.291989228707431</v>
      </c>
      <c r="L9">
        <v>12.244054253941719</v>
      </c>
      <c r="M9">
        <v>6391.3780299886994</v>
      </c>
      <c r="N9">
        <v>212</v>
      </c>
      <c r="O9">
        <v>213</v>
      </c>
      <c r="P9">
        <v>772</v>
      </c>
      <c r="Q9">
        <v>285</v>
      </c>
      <c r="R9">
        <v>285</v>
      </c>
      <c r="S9">
        <v>21827</v>
      </c>
      <c r="T9">
        <v>0</v>
      </c>
      <c r="U9">
        <v>0</v>
      </c>
      <c r="V9">
        <v>9</v>
      </c>
    </row>
    <row r="10" spans="1:22" x14ac:dyDescent="0.2">
      <c r="A10" s="1">
        <v>9</v>
      </c>
      <c r="B10">
        <v>101</v>
      </c>
      <c r="C10">
        <v>113</v>
      </c>
      <c r="D10">
        <v>124</v>
      </c>
      <c r="E10">
        <v>102</v>
      </c>
      <c r="F10">
        <v>114</v>
      </c>
      <c r="G10">
        <v>125</v>
      </c>
      <c r="H10">
        <v>266.36633663366342</v>
      </c>
      <c r="I10">
        <v>239.4159292035398</v>
      </c>
      <c r="J10">
        <v>218.17741935483869</v>
      </c>
      <c r="K10">
        <v>99.264769457474401</v>
      </c>
      <c r="L10">
        <v>82.916774718444216</v>
      </c>
      <c r="M10">
        <v>9.0194445659362152</v>
      </c>
      <c r="N10">
        <v>164</v>
      </c>
      <c r="O10">
        <v>193</v>
      </c>
      <c r="P10">
        <v>200</v>
      </c>
      <c r="Q10">
        <v>656</v>
      </c>
      <c r="R10">
        <v>839</v>
      </c>
      <c r="S10">
        <v>264</v>
      </c>
      <c r="T10">
        <v>0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  <c r="B14">
        <v>1</v>
      </c>
      <c r="C14">
        <v>205</v>
      </c>
      <c r="D14">
        <v>16</v>
      </c>
      <c r="E14">
        <v>2</v>
      </c>
      <c r="F14">
        <v>206</v>
      </c>
      <c r="G14">
        <v>17</v>
      </c>
      <c r="H14">
        <v>511</v>
      </c>
      <c r="I14">
        <v>219.37073170731711</v>
      </c>
      <c r="J14">
        <v>2799.6875</v>
      </c>
      <c r="L14">
        <v>46.125671491485207</v>
      </c>
      <c r="M14">
        <v>3049.3504164821729</v>
      </c>
      <c r="N14">
        <v>511</v>
      </c>
      <c r="O14">
        <v>190</v>
      </c>
      <c r="P14">
        <v>288</v>
      </c>
      <c r="Q14">
        <v>511</v>
      </c>
      <c r="R14">
        <v>670</v>
      </c>
      <c r="S14">
        <v>10828</v>
      </c>
      <c r="T14">
        <v>0</v>
      </c>
      <c r="U14">
        <v>0</v>
      </c>
      <c r="V14">
        <v>8</v>
      </c>
    </row>
    <row r="15" spans="1:22" x14ac:dyDescent="0.2">
      <c r="A15" s="1">
        <v>14</v>
      </c>
      <c r="B15">
        <v>381</v>
      </c>
      <c r="C15">
        <v>381</v>
      </c>
      <c r="D15">
        <v>229</v>
      </c>
      <c r="E15">
        <v>382</v>
      </c>
      <c r="F15">
        <v>382</v>
      </c>
      <c r="G15">
        <v>230</v>
      </c>
      <c r="H15">
        <v>236.11286089238851</v>
      </c>
      <c r="I15">
        <v>236.11023622047239</v>
      </c>
      <c r="J15">
        <v>391.32314410480348</v>
      </c>
      <c r="K15">
        <v>6.4265376987734264</v>
      </c>
      <c r="L15">
        <v>6.3671380993058406</v>
      </c>
      <c r="M15">
        <v>217.73460917405049</v>
      </c>
      <c r="N15">
        <v>220</v>
      </c>
      <c r="O15">
        <v>220</v>
      </c>
      <c r="P15">
        <v>160</v>
      </c>
      <c r="Q15">
        <v>261</v>
      </c>
      <c r="R15">
        <v>261</v>
      </c>
      <c r="S15">
        <v>1295</v>
      </c>
      <c r="T15">
        <v>0</v>
      </c>
      <c r="U15">
        <v>0</v>
      </c>
      <c r="V15">
        <v>9</v>
      </c>
    </row>
    <row r="16" spans="1:22" x14ac:dyDescent="0.2">
      <c r="A16" s="1">
        <v>15</v>
      </c>
    </row>
    <row r="17" spans="1:22" x14ac:dyDescent="0.2">
      <c r="A17" s="1">
        <v>16</v>
      </c>
      <c r="B17">
        <v>379</v>
      </c>
      <c r="C17">
        <v>379</v>
      </c>
      <c r="D17">
        <v>160</v>
      </c>
      <c r="E17">
        <v>380</v>
      </c>
      <c r="F17">
        <v>380</v>
      </c>
      <c r="G17">
        <v>161</v>
      </c>
      <c r="H17">
        <v>236.79683377308709</v>
      </c>
      <c r="I17">
        <v>236.79155672823219</v>
      </c>
      <c r="J17">
        <v>554.58749999999998</v>
      </c>
      <c r="K17">
        <v>14.68139197664058</v>
      </c>
      <c r="L17">
        <v>15.039149350234259</v>
      </c>
      <c r="M17">
        <v>566.57697093485069</v>
      </c>
      <c r="N17">
        <v>206</v>
      </c>
      <c r="O17">
        <v>203</v>
      </c>
      <c r="P17">
        <v>159</v>
      </c>
      <c r="Q17">
        <v>298</v>
      </c>
      <c r="R17">
        <v>299</v>
      </c>
      <c r="S17">
        <v>4422</v>
      </c>
      <c r="T17">
        <v>0</v>
      </c>
      <c r="U17">
        <v>0</v>
      </c>
      <c r="V17">
        <v>15</v>
      </c>
    </row>
    <row r="18" spans="1:22" x14ac:dyDescent="0.2">
      <c r="A18" s="1">
        <v>17</v>
      </c>
    </row>
    <row r="19" spans="1:22" x14ac:dyDescent="0.2">
      <c r="A19" s="1">
        <v>18</v>
      </c>
      <c r="B19">
        <v>318</v>
      </c>
      <c r="C19">
        <v>315</v>
      </c>
      <c r="D19">
        <v>306</v>
      </c>
      <c r="E19">
        <v>319</v>
      </c>
      <c r="F19">
        <v>316</v>
      </c>
      <c r="G19">
        <v>307</v>
      </c>
      <c r="H19">
        <v>282.32075471698113</v>
      </c>
      <c r="I19">
        <v>285.03809523809531</v>
      </c>
      <c r="J19">
        <v>293.39542483660131</v>
      </c>
      <c r="K19">
        <v>11.68747651612788</v>
      </c>
      <c r="L19">
        <v>46.382086059041718</v>
      </c>
      <c r="M19">
        <v>52.576101084321166</v>
      </c>
      <c r="N19">
        <v>252</v>
      </c>
      <c r="O19">
        <v>248</v>
      </c>
      <c r="P19">
        <v>156</v>
      </c>
      <c r="Q19">
        <v>321</v>
      </c>
      <c r="R19">
        <v>1077</v>
      </c>
      <c r="S19">
        <v>594</v>
      </c>
      <c r="T19">
        <v>0</v>
      </c>
      <c r="U19">
        <v>1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245</v>
      </c>
      <c r="C23">
        <v>240</v>
      </c>
      <c r="D23">
        <v>232</v>
      </c>
      <c r="E23">
        <v>246</v>
      </c>
      <c r="F23">
        <v>241</v>
      </c>
      <c r="G23">
        <v>233</v>
      </c>
      <c r="H23">
        <v>229.6612244897959</v>
      </c>
      <c r="I23">
        <v>234.4458333333333</v>
      </c>
      <c r="J23">
        <v>242.53879310344831</v>
      </c>
      <c r="K23">
        <v>66.716825170188983</v>
      </c>
      <c r="L23">
        <v>75.751943119183025</v>
      </c>
      <c r="M23">
        <v>125.7313092469176</v>
      </c>
      <c r="N23">
        <v>155</v>
      </c>
      <c r="O23">
        <v>177</v>
      </c>
      <c r="P23">
        <v>153</v>
      </c>
      <c r="Q23">
        <v>1133</v>
      </c>
      <c r="R23">
        <v>1131</v>
      </c>
      <c r="S23">
        <v>1732</v>
      </c>
      <c r="T23">
        <v>1</v>
      </c>
      <c r="U23">
        <v>1</v>
      </c>
      <c r="V23">
        <v>2</v>
      </c>
    </row>
    <row r="24" spans="1:22" x14ac:dyDescent="0.2">
      <c r="A24" s="1">
        <v>23</v>
      </c>
    </row>
    <row r="25" spans="1:22" x14ac:dyDescent="0.2">
      <c r="A25" s="1">
        <v>24</v>
      </c>
      <c r="B25">
        <v>327</v>
      </c>
      <c r="C25">
        <v>330</v>
      </c>
      <c r="D25">
        <v>209</v>
      </c>
      <c r="E25">
        <v>328</v>
      </c>
      <c r="F25">
        <v>331</v>
      </c>
      <c r="G25">
        <v>210</v>
      </c>
      <c r="H25">
        <v>274.60244648318042</v>
      </c>
      <c r="I25">
        <v>272.10606060606062</v>
      </c>
      <c r="J25">
        <v>427.39712918660291</v>
      </c>
      <c r="K25">
        <v>58.557515065817789</v>
      </c>
      <c r="L25">
        <v>61.217269348614977</v>
      </c>
      <c r="M25">
        <v>295.27374878659299</v>
      </c>
      <c r="N25">
        <v>153</v>
      </c>
      <c r="O25">
        <v>199</v>
      </c>
      <c r="P25">
        <v>161</v>
      </c>
      <c r="Q25">
        <v>1006</v>
      </c>
      <c r="R25">
        <v>1244</v>
      </c>
      <c r="S25">
        <v>1997</v>
      </c>
      <c r="T25">
        <v>1</v>
      </c>
      <c r="U25">
        <v>1</v>
      </c>
      <c r="V25">
        <v>10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402</v>
      </c>
      <c r="D31">
        <v>52</v>
      </c>
      <c r="E31">
        <v>403</v>
      </c>
      <c r="G31">
        <v>349</v>
      </c>
      <c r="H31">
        <v>223.23134328358211</v>
      </c>
      <c r="J31">
        <v>12555.865384615379</v>
      </c>
      <c r="K31">
        <v>8.4572395280894401</v>
      </c>
      <c r="M31">
        <v>8215.2855786263517</v>
      </c>
      <c r="N31">
        <v>195</v>
      </c>
      <c r="P31">
        <v>228</v>
      </c>
      <c r="Q31">
        <v>266</v>
      </c>
      <c r="S31">
        <v>27487</v>
      </c>
      <c r="T31">
        <v>0</v>
      </c>
      <c r="V31">
        <v>49</v>
      </c>
    </row>
    <row r="32" spans="1:22" x14ac:dyDescent="0.2">
      <c r="A32" s="1">
        <v>31</v>
      </c>
      <c r="B32">
        <v>286</v>
      </c>
      <c r="E32">
        <v>287</v>
      </c>
      <c r="H32">
        <v>314.39160839160837</v>
      </c>
      <c r="K32">
        <v>50.345617410969538</v>
      </c>
      <c r="N32">
        <v>242</v>
      </c>
      <c r="Q32">
        <v>452</v>
      </c>
      <c r="T32">
        <v>0</v>
      </c>
    </row>
    <row r="33" spans="1:22" x14ac:dyDescent="0.2">
      <c r="A33" s="1">
        <v>32</v>
      </c>
    </row>
    <row r="34" spans="1:22" x14ac:dyDescent="0.2">
      <c r="A34" s="1">
        <v>33</v>
      </c>
      <c r="B34">
        <v>266</v>
      </c>
      <c r="D34">
        <v>168</v>
      </c>
      <c r="E34">
        <v>267</v>
      </c>
      <c r="G34">
        <v>1</v>
      </c>
      <c r="H34">
        <v>264.36842105263162</v>
      </c>
      <c r="J34">
        <v>443.42857142857139</v>
      </c>
      <c r="K34">
        <v>24.812040194824629</v>
      </c>
      <c r="M34">
        <v>148.42190113211561</v>
      </c>
      <c r="N34">
        <v>199</v>
      </c>
      <c r="P34">
        <v>169</v>
      </c>
      <c r="Q34">
        <v>367</v>
      </c>
      <c r="S34">
        <v>1436</v>
      </c>
      <c r="T34">
        <v>0</v>
      </c>
      <c r="V34">
        <v>2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314</v>
      </c>
      <c r="E43">
        <v>315</v>
      </c>
      <c r="H43">
        <v>256.56369426751593</v>
      </c>
      <c r="K43">
        <v>18.212907170101651</v>
      </c>
      <c r="N43">
        <v>225</v>
      </c>
      <c r="Q43">
        <v>339</v>
      </c>
      <c r="T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326</v>
      </c>
      <c r="C45">
        <v>269</v>
      </c>
      <c r="D45">
        <v>222</v>
      </c>
      <c r="E45">
        <v>327</v>
      </c>
      <c r="F45">
        <v>270</v>
      </c>
      <c r="G45">
        <v>223</v>
      </c>
      <c r="H45">
        <v>275.16564417177909</v>
      </c>
      <c r="I45">
        <v>333.51672862453529</v>
      </c>
      <c r="J45">
        <v>404.13063063063061</v>
      </c>
      <c r="K45">
        <v>210.90367509811551</v>
      </c>
      <c r="L45">
        <v>325.37713580196601</v>
      </c>
      <c r="M45">
        <v>390.02808352136282</v>
      </c>
      <c r="N45">
        <v>152</v>
      </c>
      <c r="O45">
        <v>177</v>
      </c>
      <c r="P45">
        <v>155</v>
      </c>
      <c r="Q45">
        <v>1913</v>
      </c>
      <c r="R45">
        <v>2810</v>
      </c>
      <c r="S45">
        <v>3103</v>
      </c>
      <c r="T45">
        <v>4</v>
      </c>
      <c r="U45">
        <v>7</v>
      </c>
      <c r="V45">
        <v>15</v>
      </c>
    </row>
    <row r="46" spans="1:22" x14ac:dyDescent="0.2">
      <c r="A46" s="1">
        <v>45</v>
      </c>
      <c r="B46">
        <v>311</v>
      </c>
      <c r="C46">
        <v>159</v>
      </c>
      <c r="D46">
        <v>114</v>
      </c>
      <c r="E46">
        <v>312</v>
      </c>
      <c r="F46">
        <v>160</v>
      </c>
      <c r="G46">
        <v>115</v>
      </c>
      <c r="H46">
        <v>288.19935691318329</v>
      </c>
      <c r="I46">
        <v>562.38364779874212</v>
      </c>
      <c r="J46">
        <v>784.45614035087715</v>
      </c>
      <c r="K46">
        <v>113.7361071256671</v>
      </c>
      <c r="L46">
        <v>399.05416336699642</v>
      </c>
      <c r="M46">
        <v>1007.822283290301</v>
      </c>
      <c r="N46">
        <v>151</v>
      </c>
      <c r="O46">
        <v>165</v>
      </c>
      <c r="P46">
        <v>153</v>
      </c>
      <c r="Q46">
        <v>948</v>
      </c>
      <c r="R46">
        <v>2951</v>
      </c>
      <c r="S46">
        <v>9653</v>
      </c>
      <c r="T46">
        <v>0</v>
      </c>
      <c r="U46">
        <v>20</v>
      </c>
      <c r="V46">
        <v>17</v>
      </c>
    </row>
    <row r="47" spans="1:22" x14ac:dyDescent="0.2">
      <c r="A47" s="1">
        <v>46</v>
      </c>
      <c r="B47">
        <v>9</v>
      </c>
      <c r="C47">
        <v>8</v>
      </c>
      <c r="D47">
        <v>14</v>
      </c>
      <c r="E47">
        <v>10</v>
      </c>
      <c r="F47">
        <v>9</v>
      </c>
      <c r="G47">
        <v>15</v>
      </c>
      <c r="H47">
        <v>8039.8888888888887</v>
      </c>
      <c r="I47">
        <v>9045</v>
      </c>
      <c r="J47">
        <v>5166.0714285714284</v>
      </c>
      <c r="K47">
        <v>4984.896374159759</v>
      </c>
      <c r="L47">
        <v>4637.699090836194</v>
      </c>
      <c r="M47">
        <v>6410.7837450092429</v>
      </c>
      <c r="N47">
        <v>3172</v>
      </c>
      <c r="O47">
        <v>5546</v>
      </c>
      <c r="P47">
        <v>246</v>
      </c>
      <c r="Q47">
        <v>18905</v>
      </c>
      <c r="R47">
        <v>18906</v>
      </c>
      <c r="S47">
        <v>25242</v>
      </c>
      <c r="T47">
        <v>9</v>
      </c>
      <c r="U47">
        <v>8</v>
      </c>
      <c r="V47">
        <v>10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291</v>
      </c>
      <c r="C51">
        <v>292</v>
      </c>
      <c r="D51">
        <v>291</v>
      </c>
      <c r="E51">
        <v>292</v>
      </c>
      <c r="F51">
        <v>293</v>
      </c>
      <c r="G51">
        <v>292</v>
      </c>
      <c r="H51">
        <v>308.10652920962201</v>
      </c>
      <c r="I51">
        <v>307.99657534246569</v>
      </c>
      <c r="J51">
        <v>308.10652920962201</v>
      </c>
      <c r="K51">
        <v>28.19474746843154</v>
      </c>
      <c r="L51">
        <v>28.229605756233639</v>
      </c>
      <c r="M51">
        <v>28.222862925386899</v>
      </c>
      <c r="N51">
        <v>259</v>
      </c>
      <c r="O51">
        <v>259</v>
      </c>
      <c r="P51">
        <v>259</v>
      </c>
      <c r="Q51">
        <v>423</v>
      </c>
      <c r="R51">
        <v>423</v>
      </c>
      <c r="S51">
        <v>423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391</v>
      </c>
      <c r="C52">
        <v>392</v>
      </c>
      <c r="D52">
        <v>130</v>
      </c>
      <c r="E52">
        <v>392</v>
      </c>
      <c r="F52">
        <v>393</v>
      </c>
      <c r="G52">
        <v>131</v>
      </c>
      <c r="H52">
        <v>229.26598465473151</v>
      </c>
      <c r="I52">
        <v>228.68367346938771</v>
      </c>
      <c r="J52">
        <v>609.93846153846152</v>
      </c>
      <c r="K52">
        <v>33.158992963425199</v>
      </c>
      <c r="L52">
        <v>31.481849417356258</v>
      </c>
      <c r="M52">
        <v>1089.64754812251</v>
      </c>
      <c r="N52">
        <v>185</v>
      </c>
      <c r="O52">
        <v>187</v>
      </c>
      <c r="P52">
        <v>151</v>
      </c>
      <c r="Q52">
        <v>434</v>
      </c>
      <c r="R52">
        <v>399</v>
      </c>
      <c r="S52">
        <v>7612</v>
      </c>
      <c r="T52">
        <v>0</v>
      </c>
      <c r="U52">
        <v>0</v>
      </c>
      <c r="V52">
        <v>10</v>
      </c>
    </row>
    <row r="53" spans="1:22" x14ac:dyDescent="0.2">
      <c r="A53" s="1">
        <v>52</v>
      </c>
    </row>
    <row r="54" spans="1:22" x14ac:dyDescent="0.2">
      <c r="A54" s="1">
        <v>53</v>
      </c>
      <c r="B54">
        <v>213</v>
      </c>
      <c r="C54">
        <v>223</v>
      </c>
      <c r="D54">
        <v>125</v>
      </c>
      <c r="E54">
        <v>214</v>
      </c>
      <c r="F54">
        <v>224</v>
      </c>
      <c r="G54">
        <v>126</v>
      </c>
      <c r="H54">
        <v>420.84976525821588</v>
      </c>
      <c r="I54">
        <v>402.26008968609858</v>
      </c>
      <c r="J54">
        <v>715.62400000000002</v>
      </c>
      <c r="K54">
        <v>244.77233542821449</v>
      </c>
      <c r="L54">
        <v>213.91326981652051</v>
      </c>
      <c r="M54">
        <v>555.63424474692329</v>
      </c>
      <c r="N54">
        <v>152</v>
      </c>
      <c r="O54">
        <v>151</v>
      </c>
      <c r="P54">
        <v>208</v>
      </c>
      <c r="Q54">
        <v>1632</v>
      </c>
      <c r="R54">
        <v>1316</v>
      </c>
      <c r="S54">
        <v>3249</v>
      </c>
      <c r="T54">
        <v>7</v>
      </c>
      <c r="U54">
        <v>7</v>
      </c>
      <c r="V54">
        <v>30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393</v>
      </c>
      <c r="C58">
        <v>392</v>
      </c>
      <c r="D58">
        <v>258</v>
      </c>
      <c r="E58">
        <v>394</v>
      </c>
      <c r="F58">
        <v>393</v>
      </c>
      <c r="G58">
        <v>259</v>
      </c>
      <c r="H58">
        <v>228.06361323155221</v>
      </c>
      <c r="I58">
        <v>228.64285714285711</v>
      </c>
      <c r="J58">
        <v>344.33720930232562</v>
      </c>
      <c r="K58">
        <v>35.964530771941767</v>
      </c>
      <c r="L58">
        <v>36.224717790869441</v>
      </c>
      <c r="M58">
        <v>304.2793467636111</v>
      </c>
      <c r="N58">
        <v>163</v>
      </c>
      <c r="O58">
        <v>178</v>
      </c>
      <c r="P58">
        <v>154</v>
      </c>
      <c r="Q58">
        <v>515</v>
      </c>
      <c r="R58">
        <v>515</v>
      </c>
      <c r="S58">
        <v>2960</v>
      </c>
      <c r="T58">
        <v>0</v>
      </c>
      <c r="U58">
        <v>0</v>
      </c>
      <c r="V58">
        <v>10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  <c r="B63">
        <v>25</v>
      </c>
      <c r="C63">
        <v>12</v>
      </c>
      <c r="D63">
        <v>4</v>
      </c>
      <c r="E63">
        <v>26</v>
      </c>
      <c r="F63">
        <v>13</v>
      </c>
      <c r="G63">
        <v>5</v>
      </c>
      <c r="H63">
        <v>591</v>
      </c>
      <c r="I63">
        <v>1404.833333333333</v>
      </c>
      <c r="J63">
        <v>1430.5</v>
      </c>
      <c r="K63">
        <v>1237.757346978801</v>
      </c>
      <c r="L63">
        <v>1647.7916810818119</v>
      </c>
      <c r="M63">
        <v>1127.105585116142</v>
      </c>
      <c r="N63">
        <v>151</v>
      </c>
      <c r="O63">
        <v>168</v>
      </c>
      <c r="P63">
        <v>395</v>
      </c>
      <c r="Q63">
        <v>6015</v>
      </c>
      <c r="R63">
        <v>6015</v>
      </c>
      <c r="S63">
        <v>2540</v>
      </c>
      <c r="T63">
        <v>4</v>
      </c>
      <c r="U63">
        <v>6</v>
      </c>
      <c r="V63">
        <v>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96</v>
      </c>
      <c r="C68">
        <v>76</v>
      </c>
      <c r="D68">
        <v>80</v>
      </c>
      <c r="E68">
        <v>97</v>
      </c>
      <c r="F68">
        <v>77</v>
      </c>
      <c r="G68">
        <v>81</v>
      </c>
      <c r="H68">
        <v>831.25</v>
      </c>
      <c r="I68">
        <v>1033.1184210526319</v>
      </c>
      <c r="J68">
        <v>805.17499999999995</v>
      </c>
      <c r="K68">
        <v>974.91135359499276</v>
      </c>
      <c r="L68">
        <v>1755.3274184007589</v>
      </c>
      <c r="M68">
        <v>889.51223691428379</v>
      </c>
      <c r="N68">
        <v>152</v>
      </c>
      <c r="O68">
        <v>154</v>
      </c>
      <c r="P68">
        <v>154</v>
      </c>
      <c r="Q68">
        <v>6761</v>
      </c>
      <c r="R68">
        <v>14081</v>
      </c>
      <c r="S68">
        <v>4912</v>
      </c>
      <c r="T68">
        <v>23</v>
      </c>
      <c r="U68">
        <v>22</v>
      </c>
      <c r="V68">
        <v>20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400</v>
      </c>
      <c r="C72">
        <v>400</v>
      </c>
      <c r="D72">
        <v>358</v>
      </c>
      <c r="E72">
        <v>401</v>
      </c>
      <c r="F72">
        <v>401</v>
      </c>
      <c r="G72">
        <v>359</v>
      </c>
      <c r="H72">
        <v>224.21</v>
      </c>
      <c r="I72">
        <v>224.20750000000001</v>
      </c>
      <c r="J72">
        <v>250.7821229050279</v>
      </c>
      <c r="K72">
        <v>13.59643547567193</v>
      </c>
      <c r="L72">
        <v>13.393764447128479</v>
      </c>
      <c r="M72">
        <v>67.851398958154803</v>
      </c>
      <c r="N72">
        <v>185</v>
      </c>
      <c r="O72">
        <v>194</v>
      </c>
      <c r="P72">
        <v>153</v>
      </c>
      <c r="Q72">
        <v>278</v>
      </c>
      <c r="R72">
        <v>277</v>
      </c>
      <c r="S72">
        <v>809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124</v>
      </c>
      <c r="C77">
        <v>112</v>
      </c>
      <c r="D77">
        <v>84</v>
      </c>
      <c r="E77">
        <v>125</v>
      </c>
      <c r="F77">
        <v>113</v>
      </c>
      <c r="G77">
        <v>85</v>
      </c>
      <c r="H77">
        <v>672.2822580645161</v>
      </c>
      <c r="I77">
        <v>743.30357142857144</v>
      </c>
      <c r="J77">
        <v>991.07142857142856</v>
      </c>
      <c r="K77">
        <v>806.14534549090354</v>
      </c>
      <c r="L77">
        <v>843.32146670373936</v>
      </c>
      <c r="M77">
        <v>1377.6260949499649</v>
      </c>
      <c r="N77">
        <v>152</v>
      </c>
      <c r="O77">
        <v>152</v>
      </c>
      <c r="P77">
        <v>152</v>
      </c>
      <c r="Q77">
        <v>4995</v>
      </c>
      <c r="R77">
        <v>6073</v>
      </c>
      <c r="S77">
        <v>11092</v>
      </c>
      <c r="T77">
        <v>23</v>
      </c>
      <c r="U77">
        <v>20</v>
      </c>
      <c r="V77">
        <v>24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352</v>
      </c>
      <c r="C80">
        <v>345</v>
      </c>
      <c r="D80">
        <v>22</v>
      </c>
      <c r="E80">
        <v>353</v>
      </c>
      <c r="F80">
        <v>346</v>
      </c>
      <c r="G80">
        <v>23</v>
      </c>
      <c r="H80">
        <v>254.1420454545455</v>
      </c>
      <c r="I80">
        <v>259.29565217391303</v>
      </c>
      <c r="J80">
        <v>3875.409090909091</v>
      </c>
      <c r="K80">
        <v>31.16534791886513</v>
      </c>
      <c r="L80">
        <v>71.240296023760905</v>
      </c>
      <c r="M80">
        <v>14640.846233866499</v>
      </c>
      <c r="N80">
        <v>193</v>
      </c>
      <c r="O80">
        <v>199</v>
      </c>
      <c r="P80">
        <v>203</v>
      </c>
      <c r="Q80">
        <v>423</v>
      </c>
      <c r="R80">
        <v>1357</v>
      </c>
      <c r="S80">
        <v>69328</v>
      </c>
      <c r="T80">
        <v>0</v>
      </c>
      <c r="U80">
        <v>1</v>
      </c>
      <c r="V80">
        <v>4</v>
      </c>
    </row>
    <row r="81" spans="1:22" x14ac:dyDescent="0.2">
      <c r="A81" s="1">
        <v>80</v>
      </c>
      <c r="B81">
        <v>2</v>
      </c>
      <c r="C81">
        <v>352</v>
      </c>
      <c r="D81">
        <v>4</v>
      </c>
      <c r="E81">
        <v>3</v>
      </c>
      <c r="F81">
        <v>1</v>
      </c>
      <c r="G81">
        <v>5</v>
      </c>
      <c r="H81">
        <v>24293.5</v>
      </c>
      <c r="I81">
        <v>318.21306818181819</v>
      </c>
      <c r="J81">
        <v>13695.5</v>
      </c>
      <c r="K81">
        <v>32612.471855104759</v>
      </c>
      <c r="L81">
        <v>44.046304949827856</v>
      </c>
      <c r="M81">
        <v>23182.23518846562</v>
      </c>
      <c r="N81">
        <v>1233</v>
      </c>
      <c r="O81">
        <v>230</v>
      </c>
      <c r="P81">
        <v>699</v>
      </c>
      <c r="Q81">
        <v>47354</v>
      </c>
      <c r="R81">
        <v>480</v>
      </c>
      <c r="S81">
        <v>48426</v>
      </c>
      <c r="T81">
        <v>2</v>
      </c>
      <c r="U81">
        <v>0</v>
      </c>
      <c r="V81">
        <v>3</v>
      </c>
    </row>
    <row r="82" spans="1:22" x14ac:dyDescent="0.2">
      <c r="A82" s="1">
        <v>81</v>
      </c>
    </row>
    <row r="83" spans="1:22" x14ac:dyDescent="0.2">
      <c r="A83" s="1">
        <v>82</v>
      </c>
      <c r="B83">
        <v>58</v>
      </c>
      <c r="E83">
        <v>69</v>
      </c>
      <c r="H83">
        <v>7713.9827586206893</v>
      </c>
      <c r="K83">
        <v>4398.2310339234909</v>
      </c>
      <c r="N83">
        <v>405</v>
      </c>
      <c r="Q83">
        <v>15352</v>
      </c>
      <c r="T83">
        <v>56</v>
      </c>
    </row>
    <row r="84" spans="1:22" x14ac:dyDescent="0.2">
      <c r="A84" s="1">
        <v>83</v>
      </c>
    </row>
    <row r="85" spans="1:22" x14ac:dyDescent="0.2">
      <c r="A85" s="1">
        <v>84</v>
      </c>
      <c r="B85">
        <v>361</v>
      </c>
      <c r="C85">
        <v>366</v>
      </c>
      <c r="D85">
        <v>45</v>
      </c>
      <c r="E85">
        <v>362</v>
      </c>
      <c r="F85">
        <v>367</v>
      </c>
      <c r="G85">
        <v>46</v>
      </c>
      <c r="H85">
        <v>248.71191135734071</v>
      </c>
      <c r="I85">
        <v>245.31693989071039</v>
      </c>
      <c r="J85">
        <v>1845.866666666667</v>
      </c>
      <c r="K85">
        <v>33.226664274894723</v>
      </c>
      <c r="L85">
        <v>11.461338822161091</v>
      </c>
      <c r="M85">
        <v>2087.1244311034961</v>
      </c>
      <c r="N85">
        <v>205</v>
      </c>
      <c r="O85">
        <v>219</v>
      </c>
      <c r="P85">
        <v>176</v>
      </c>
      <c r="Q85">
        <v>687</v>
      </c>
      <c r="R85">
        <v>290</v>
      </c>
      <c r="S85">
        <v>10053</v>
      </c>
      <c r="T85">
        <v>0</v>
      </c>
      <c r="U85">
        <v>0</v>
      </c>
      <c r="V85">
        <v>24</v>
      </c>
    </row>
    <row r="86" spans="1:22" x14ac:dyDescent="0.2">
      <c r="A86" s="1">
        <v>85</v>
      </c>
      <c r="B86">
        <v>384</v>
      </c>
      <c r="D86">
        <v>1</v>
      </c>
      <c r="E86">
        <v>385</v>
      </c>
      <c r="G86">
        <v>2</v>
      </c>
      <c r="H86">
        <v>233.02604166666671</v>
      </c>
      <c r="J86">
        <v>55540</v>
      </c>
      <c r="K86">
        <v>15.32943205610535</v>
      </c>
      <c r="N86">
        <v>192</v>
      </c>
      <c r="P86">
        <v>55540</v>
      </c>
      <c r="Q86">
        <v>285</v>
      </c>
      <c r="S86">
        <v>55540</v>
      </c>
      <c r="T86">
        <v>0</v>
      </c>
      <c r="V86">
        <v>1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V91"/>
  <sheetViews>
    <sheetView workbookViewId="0">
      <selection activeCell="E2" sqref="E2:G92"/>
    </sheetView>
  </sheetViews>
  <sheetFormatPr baseColWidth="10" defaultColWidth="8.83203125" defaultRowHeight="15" x14ac:dyDescent="0.2"/>
  <sheetData>
    <row r="1" spans="1:22" x14ac:dyDescent="0.2">
      <c r="A1" s="1" t="s">
        <v>45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354</v>
      </c>
      <c r="C2">
        <v>354</v>
      </c>
      <c r="D2">
        <v>354</v>
      </c>
      <c r="E2">
        <v>355</v>
      </c>
      <c r="F2">
        <v>355</v>
      </c>
      <c r="G2">
        <v>355</v>
      </c>
      <c r="H2">
        <v>359.61016949152543</v>
      </c>
      <c r="I2">
        <v>359.61016949152543</v>
      </c>
      <c r="J2">
        <v>359.5282485875706</v>
      </c>
      <c r="K2">
        <v>22.620918606710418</v>
      </c>
      <c r="L2">
        <v>16.629286036352848</v>
      </c>
      <c r="M2">
        <v>17.191985213002351</v>
      </c>
      <c r="N2">
        <v>308</v>
      </c>
      <c r="O2">
        <v>310</v>
      </c>
      <c r="P2">
        <v>295</v>
      </c>
      <c r="Q2">
        <v>415</v>
      </c>
      <c r="R2">
        <v>415</v>
      </c>
      <c r="S2">
        <v>412</v>
      </c>
      <c r="T2">
        <v>0</v>
      </c>
      <c r="U2">
        <v>0</v>
      </c>
      <c r="V2">
        <v>0</v>
      </c>
    </row>
    <row r="3" spans="1:22" x14ac:dyDescent="0.2">
      <c r="A3" s="1">
        <v>2</v>
      </c>
      <c r="B3">
        <v>405</v>
      </c>
      <c r="C3">
        <v>406</v>
      </c>
      <c r="D3">
        <v>406</v>
      </c>
      <c r="E3">
        <v>406</v>
      </c>
      <c r="F3">
        <v>407</v>
      </c>
      <c r="G3">
        <v>407</v>
      </c>
      <c r="H3">
        <v>369.0888888888889</v>
      </c>
      <c r="I3">
        <v>368.17487684729059</v>
      </c>
      <c r="J3">
        <v>368.18226600985219</v>
      </c>
      <c r="K3">
        <v>32.07782923941194</v>
      </c>
      <c r="L3">
        <v>21.966112157551439</v>
      </c>
      <c r="M3">
        <v>22.61325473405665</v>
      </c>
      <c r="N3">
        <v>288</v>
      </c>
      <c r="O3">
        <v>317</v>
      </c>
      <c r="P3">
        <v>308</v>
      </c>
      <c r="Q3">
        <v>683</v>
      </c>
      <c r="R3">
        <v>440</v>
      </c>
      <c r="S3">
        <v>470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228</v>
      </c>
      <c r="C8">
        <v>227</v>
      </c>
      <c r="D8">
        <v>227</v>
      </c>
      <c r="E8">
        <v>229</v>
      </c>
      <c r="F8">
        <v>228</v>
      </c>
      <c r="G8">
        <v>228</v>
      </c>
      <c r="H8">
        <v>374.67982456140351</v>
      </c>
      <c r="I8">
        <v>376.33920704845809</v>
      </c>
      <c r="J8">
        <v>376.33480176211452</v>
      </c>
      <c r="K8">
        <v>23.00484790825319</v>
      </c>
      <c r="L8">
        <v>33.338892821893239</v>
      </c>
      <c r="M8">
        <v>33.417879472431807</v>
      </c>
      <c r="N8">
        <v>324</v>
      </c>
      <c r="O8">
        <v>324</v>
      </c>
      <c r="P8">
        <v>324</v>
      </c>
      <c r="Q8">
        <v>422</v>
      </c>
      <c r="R8">
        <v>740</v>
      </c>
      <c r="S8">
        <v>739</v>
      </c>
      <c r="T8">
        <v>0</v>
      </c>
      <c r="U8">
        <v>0</v>
      </c>
      <c r="V8">
        <v>0</v>
      </c>
    </row>
    <row r="9" spans="1:22" x14ac:dyDescent="0.2">
      <c r="A9" s="1">
        <v>8</v>
      </c>
      <c r="B9">
        <v>263</v>
      </c>
      <c r="C9">
        <v>182</v>
      </c>
      <c r="D9">
        <v>179</v>
      </c>
      <c r="E9">
        <v>264</v>
      </c>
      <c r="F9">
        <v>183</v>
      </c>
      <c r="G9">
        <v>180</v>
      </c>
      <c r="H9">
        <v>557.05703422053227</v>
      </c>
      <c r="I9">
        <v>812.28571428571433</v>
      </c>
      <c r="J9">
        <v>818.41899441340786</v>
      </c>
      <c r="K9">
        <v>734.0357962455214</v>
      </c>
      <c r="L9">
        <v>1151.6303196140941</v>
      </c>
      <c r="M9">
        <v>1330.241427727193</v>
      </c>
      <c r="N9">
        <v>204</v>
      </c>
      <c r="O9">
        <v>156</v>
      </c>
      <c r="P9">
        <v>156</v>
      </c>
      <c r="Q9">
        <v>7308</v>
      </c>
      <c r="R9">
        <v>11075</v>
      </c>
      <c r="S9">
        <v>14629</v>
      </c>
      <c r="T9">
        <v>16</v>
      </c>
      <c r="U9">
        <v>42</v>
      </c>
      <c r="V9">
        <v>37</v>
      </c>
    </row>
    <row r="10" spans="1:22" x14ac:dyDescent="0.2">
      <c r="A10" s="1">
        <v>9</v>
      </c>
      <c r="B10">
        <v>405</v>
      </c>
      <c r="C10">
        <v>410</v>
      </c>
      <c r="D10">
        <v>410</v>
      </c>
      <c r="E10">
        <v>406</v>
      </c>
      <c r="F10">
        <v>411</v>
      </c>
      <c r="G10">
        <v>411</v>
      </c>
      <c r="H10">
        <v>368.81975308641978</v>
      </c>
      <c r="I10">
        <v>364.3170731707317</v>
      </c>
      <c r="J10">
        <v>364.31951219512189</v>
      </c>
      <c r="K10">
        <v>59.249469270616871</v>
      </c>
      <c r="L10">
        <v>28.63584621124792</v>
      </c>
      <c r="M10">
        <v>28.67221139645374</v>
      </c>
      <c r="N10">
        <v>263</v>
      </c>
      <c r="O10">
        <v>293</v>
      </c>
      <c r="P10">
        <v>293</v>
      </c>
      <c r="Q10">
        <v>1075</v>
      </c>
      <c r="R10">
        <v>457</v>
      </c>
      <c r="S10">
        <v>457</v>
      </c>
      <c r="T10">
        <v>2</v>
      </c>
      <c r="U10">
        <v>0</v>
      </c>
      <c r="V10">
        <v>0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</row>
    <row r="15" spans="1:22" x14ac:dyDescent="0.2">
      <c r="A15" s="1">
        <v>14</v>
      </c>
      <c r="B15">
        <v>378</v>
      </c>
      <c r="C15">
        <v>378</v>
      </c>
      <c r="D15">
        <v>202</v>
      </c>
      <c r="E15">
        <v>379</v>
      </c>
      <c r="F15">
        <v>379</v>
      </c>
      <c r="G15">
        <v>203</v>
      </c>
      <c r="H15">
        <v>396.16931216931209</v>
      </c>
      <c r="I15">
        <v>395.30687830687827</v>
      </c>
      <c r="J15">
        <v>665.32673267326732</v>
      </c>
      <c r="K15">
        <v>36.388602728659443</v>
      </c>
      <c r="L15">
        <v>33.672332861100656</v>
      </c>
      <c r="M15">
        <v>2102.473315399835</v>
      </c>
      <c r="N15">
        <v>305</v>
      </c>
      <c r="O15">
        <v>306</v>
      </c>
      <c r="P15">
        <v>260</v>
      </c>
      <c r="Q15">
        <v>668</v>
      </c>
      <c r="R15">
        <v>480</v>
      </c>
      <c r="S15">
        <v>27724</v>
      </c>
      <c r="T15">
        <v>0</v>
      </c>
      <c r="U15">
        <v>0</v>
      </c>
      <c r="V15">
        <v>7</v>
      </c>
    </row>
    <row r="16" spans="1:22" x14ac:dyDescent="0.2">
      <c r="A16" s="1">
        <v>15</v>
      </c>
    </row>
    <row r="17" spans="1:22" x14ac:dyDescent="0.2">
      <c r="A17" s="1">
        <v>16</v>
      </c>
      <c r="B17">
        <v>437</v>
      </c>
      <c r="C17">
        <v>437</v>
      </c>
      <c r="D17">
        <v>438</v>
      </c>
      <c r="E17">
        <v>438</v>
      </c>
      <c r="F17">
        <v>438</v>
      </c>
      <c r="G17">
        <v>439</v>
      </c>
      <c r="H17">
        <v>342.29061784897033</v>
      </c>
      <c r="I17">
        <v>342.29061784897033</v>
      </c>
      <c r="J17">
        <v>341.51369863013701</v>
      </c>
      <c r="K17">
        <v>36.031525809217733</v>
      </c>
      <c r="L17">
        <v>36.068808207852094</v>
      </c>
      <c r="M17">
        <v>34.807460529111097</v>
      </c>
      <c r="N17">
        <v>212</v>
      </c>
      <c r="O17">
        <v>208</v>
      </c>
      <c r="P17">
        <v>156</v>
      </c>
      <c r="Q17">
        <v>486</v>
      </c>
      <c r="R17">
        <v>481</v>
      </c>
      <c r="S17">
        <v>479</v>
      </c>
      <c r="T17">
        <v>0</v>
      </c>
      <c r="U17">
        <v>0</v>
      </c>
      <c r="V17">
        <v>0</v>
      </c>
    </row>
    <row r="18" spans="1:22" x14ac:dyDescent="0.2">
      <c r="A18" s="1">
        <v>17</v>
      </c>
    </row>
    <row r="19" spans="1:22" x14ac:dyDescent="0.2">
      <c r="A19" s="1">
        <v>18</v>
      </c>
      <c r="B19">
        <v>399</v>
      </c>
      <c r="C19">
        <v>396</v>
      </c>
      <c r="D19">
        <v>397</v>
      </c>
      <c r="E19">
        <v>400</v>
      </c>
      <c r="F19">
        <v>397</v>
      </c>
      <c r="G19">
        <v>398</v>
      </c>
      <c r="H19">
        <v>374.25313283208021</v>
      </c>
      <c r="I19">
        <v>377.09090909090912</v>
      </c>
      <c r="J19">
        <v>376.13853904282121</v>
      </c>
      <c r="K19">
        <v>36.650304337070637</v>
      </c>
      <c r="L19">
        <v>35.006499478721658</v>
      </c>
      <c r="M19">
        <v>39.811150801794767</v>
      </c>
      <c r="N19">
        <v>161</v>
      </c>
      <c r="O19">
        <v>178</v>
      </c>
      <c r="P19">
        <v>177</v>
      </c>
      <c r="Q19">
        <v>471</v>
      </c>
      <c r="R19">
        <v>704</v>
      </c>
      <c r="S19">
        <v>708</v>
      </c>
      <c r="T19">
        <v>0</v>
      </c>
      <c r="U19">
        <v>0</v>
      </c>
      <c r="V19">
        <v>0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380</v>
      </c>
      <c r="C23">
        <v>380</v>
      </c>
      <c r="D23">
        <v>349</v>
      </c>
      <c r="E23">
        <v>381</v>
      </c>
      <c r="F23">
        <v>381</v>
      </c>
      <c r="G23">
        <v>350</v>
      </c>
      <c r="H23">
        <v>393.18421052631578</v>
      </c>
      <c r="I23">
        <v>393.26578947368421</v>
      </c>
      <c r="J23">
        <v>428.19484240687677</v>
      </c>
      <c r="K23">
        <v>31.218825305651659</v>
      </c>
      <c r="L23">
        <v>25.782536646827591</v>
      </c>
      <c r="M23">
        <v>316.05035950531322</v>
      </c>
      <c r="N23">
        <v>271</v>
      </c>
      <c r="O23">
        <v>302</v>
      </c>
      <c r="P23">
        <v>155</v>
      </c>
      <c r="Q23">
        <v>464</v>
      </c>
      <c r="R23">
        <v>452</v>
      </c>
      <c r="S23">
        <v>3739</v>
      </c>
      <c r="T23">
        <v>0</v>
      </c>
      <c r="U23">
        <v>0</v>
      </c>
      <c r="V23">
        <v>16</v>
      </c>
    </row>
    <row r="24" spans="1:22" x14ac:dyDescent="0.2">
      <c r="A24" s="1">
        <v>23</v>
      </c>
    </row>
    <row r="25" spans="1:22" x14ac:dyDescent="0.2">
      <c r="A25" s="1">
        <v>24</v>
      </c>
      <c r="B25">
        <v>3</v>
      </c>
      <c r="C25">
        <v>319</v>
      </c>
      <c r="D25">
        <v>8</v>
      </c>
      <c r="E25">
        <v>4</v>
      </c>
      <c r="F25">
        <v>1</v>
      </c>
      <c r="G25">
        <v>9</v>
      </c>
      <c r="H25">
        <v>36226</v>
      </c>
      <c r="I25">
        <v>45061.310344827587</v>
      </c>
      <c r="J25">
        <v>13689.875</v>
      </c>
      <c r="K25">
        <v>59985.227756506851</v>
      </c>
      <c r="L25">
        <v>26075.650140551428</v>
      </c>
      <c r="M25">
        <v>26368.65545863931</v>
      </c>
      <c r="N25">
        <v>439</v>
      </c>
      <c r="O25">
        <v>252</v>
      </c>
      <c r="P25">
        <v>181</v>
      </c>
      <c r="Q25">
        <v>105478</v>
      </c>
      <c r="R25">
        <v>90030</v>
      </c>
      <c r="S25">
        <v>70889</v>
      </c>
      <c r="T25">
        <v>2</v>
      </c>
      <c r="U25">
        <v>316</v>
      </c>
      <c r="V25">
        <v>2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404</v>
      </c>
      <c r="C31">
        <v>387</v>
      </c>
      <c r="D31">
        <v>351</v>
      </c>
      <c r="E31">
        <v>405</v>
      </c>
      <c r="F31">
        <v>388</v>
      </c>
      <c r="G31">
        <v>352</v>
      </c>
      <c r="H31">
        <v>370.75247524752473</v>
      </c>
      <c r="I31">
        <v>387.03875968992247</v>
      </c>
      <c r="J31">
        <v>426.43019943019942</v>
      </c>
      <c r="K31">
        <v>96.381160802460045</v>
      </c>
      <c r="L31">
        <v>158.03277697180849</v>
      </c>
      <c r="M31">
        <v>228.01284449964061</v>
      </c>
      <c r="N31">
        <v>183</v>
      </c>
      <c r="O31">
        <v>186</v>
      </c>
      <c r="P31">
        <v>196</v>
      </c>
      <c r="Q31">
        <v>1129</v>
      </c>
      <c r="R31">
        <v>1939</v>
      </c>
      <c r="S31">
        <v>1994</v>
      </c>
      <c r="T31">
        <v>2</v>
      </c>
      <c r="U31">
        <v>5</v>
      </c>
      <c r="V31">
        <v>15</v>
      </c>
    </row>
    <row r="32" spans="1:22" x14ac:dyDescent="0.2">
      <c r="A32" s="1">
        <v>31</v>
      </c>
      <c r="B32">
        <v>234</v>
      </c>
      <c r="C32">
        <v>87</v>
      </c>
      <c r="D32">
        <v>148</v>
      </c>
      <c r="E32">
        <v>235</v>
      </c>
      <c r="F32">
        <v>88</v>
      </c>
      <c r="G32">
        <v>149</v>
      </c>
      <c r="H32">
        <v>634.76068376068372</v>
      </c>
      <c r="I32">
        <v>1716.367816091954</v>
      </c>
      <c r="J32">
        <v>1004.297297297297</v>
      </c>
      <c r="K32">
        <v>633.71305361924453</v>
      </c>
      <c r="L32">
        <v>4189.6726383604919</v>
      </c>
      <c r="M32">
        <v>1380.331900635138</v>
      </c>
      <c r="N32">
        <v>157</v>
      </c>
      <c r="O32">
        <v>165</v>
      </c>
      <c r="P32">
        <v>160</v>
      </c>
      <c r="Q32">
        <v>4188</v>
      </c>
      <c r="R32">
        <v>33605</v>
      </c>
      <c r="S32">
        <v>11353</v>
      </c>
      <c r="T32">
        <v>37</v>
      </c>
      <c r="U32">
        <v>28</v>
      </c>
      <c r="V32">
        <v>42</v>
      </c>
    </row>
    <row r="33" spans="1:22" x14ac:dyDescent="0.2">
      <c r="A33" s="1">
        <v>32</v>
      </c>
    </row>
    <row r="34" spans="1:22" x14ac:dyDescent="0.2">
      <c r="A34" s="1">
        <v>33</v>
      </c>
      <c r="B34">
        <v>123</v>
      </c>
      <c r="C34">
        <v>131</v>
      </c>
      <c r="D34">
        <v>117</v>
      </c>
      <c r="E34">
        <v>124</v>
      </c>
      <c r="F34">
        <v>132</v>
      </c>
      <c r="G34">
        <v>118</v>
      </c>
      <c r="H34">
        <v>439.26829268292681</v>
      </c>
      <c r="I34">
        <v>407.75572519083971</v>
      </c>
      <c r="J34">
        <v>460.71794871794867</v>
      </c>
      <c r="K34">
        <v>91.947782149126056</v>
      </c>
      <c r="L34">
        <v>156.1060828462025</v>
      </c>
      <c r="M34">
        <v>246.43876787753459</v>
      </c>
      <c r="N34">
        <v>178</v>
      </c>
      <c r="O34">
        <v>156</v>
      </c>
      <c r="P34">
        <v>153</v>
      </c>
      <c r="Q34">
        <v>904</v>
      </c>
      <c r="R34">
        <v>1304</v>
      </c>
      <c r="S34">
        <v>1697</v>
      </c>
      <c r="T34">
        <v>0</v>
      </c>
      <c r="U34">
        <v>2</v>
      </c>
      <c r="V34">
        <v>3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111</v>
      </c>
      <c r="C43">
        <v>111</v>
      </c>
      <c r="D43">
        <v>120</v>
      </c>
      <c r="E43">
        <v>112</v>
      </c>
      <c r="F43">
        <v>112</v>
      </c>
      <c r="G43">
        <v>121</v>
      </c>
      <c r="H43">
        <v>421.98198198198202</v>
      </c>
      <c r="I43">
        <v>421.95495495495493</v>
      </c>
      <c r="J43">
        <v>390.31666666666672</v>
      </c>
      <c r="K43">
        <v>63.137653652660447</v>
      </c>
      <c r="L43">
        <v>62.528886035668258</v>
      </c>
      <c r="M43">
        <v>152.54298103952789</v>
      </c>
      <c r="N43">
        <v>155</v>
      </c>
      <c r="O43">
        <v>173</v>
      </c>
      <c r="P43">
        <v>160</v>
      </c>
      <c r="Q43">
        <v>486</v>
      </c>
      <c r="R43">
        <v>486</v>
      </c>
      <c r="S43">
        <v>1192</v>
      </c>
      <c r="T43">
        <v>0</v>
      </c>
      <c r="U43">
        <v>0</v>
      </c>
      <c r="V43">
        <v>1</v>
      </c>
    </row>
    <row r="44" spans="1:22" x14ac:dyDescent="0.2">
      <c r="A44" s="1">
        <v>43</v>
      </c>
    </row>
    <row r="45" spans="1:22" x14ac:dyDescent="0.2">
      <c r="A45" s="1">
        <v>44</v>
      </c>
      <c r="B45">
        <v>396</v>
      </c>
      <c r="C45">
        <v>395</v>
      </c>
      <c r="D45">
        <v>262</v>
      </c>
      <c r="E45">
        <v>397</v>
      </c>
      <c r="F45">
        <v>396</v>
      </c>
      <c r="G45">
        <v>263</v>
      </c>
      <c r="H45">
        <v>377.94444444444451</v>
      </c>
      <c r="I45">
        <v>378.90379746835441</v>
      </c>
      <c r="J45">
        <v>570.93129770992368</v>
      </c>
      <c r="K45">
        <v>29.734043812820492</v>
      </c>
      <c r="L45">
        <v>26.516365232371911</v>
      </c>
      <c r="M45">
        <v>373.26073166885942</v>
      </c>
      <c r="N45">
        <v>166</v>
      </c>
      <c r="O45">
        <v>320</v>
      </c>
      <c r="P45">
        <v>151</v>
      </c>
      <c r="Q45">
        <v>472</v>
      </c>
      <c r="R45">
        <v>473</v>
      </c>
      <c r="S45">
        <v>2056</v>
      </c>
      <c r="T45">
        <v>0</v>
      </c>
      <c r="U45">
        <v>0</v>
      </c>
      <c r="V45">
        <v>28</v>
      </c>
    </row>
    <row r="46" spans="1:22" x14ac:dyDescent="0.2">
      <c r="A46" s="1">
        <v>45</v>
      </c>
      <c r="B46">
        <v>176</v>
      </c>
      <c r="C46">
        <v>235</v>
      </c>
      <c r="D46">
        <v>239</v>
      </c>
      <c r="E46">
        <v>177</v>
      </c>
      <c r="F46">
        <v>236</v>
      </c>
      <c r="G46">
        <v>240</v>
      </c>
      <c r="H46">
        <v>845.76136363636363</v>
      </c>
      <c r="I46">
        <v>636.96170212765958</v>
      </c>
      <c r="J46">
        <v>626.30125523012555</v>
      </c>
      <c r="K46">
        <v>654.09273251372611</v>
      </c>
      <c r="L46">
        <v>460.02918272035242</v>
      </c>
      <c r="M46">
        <v>429.0050454622081</v>
      </c>
      <c r="N46">
        <v>160</v>
      </c>
      <c r="O46">
        <v>164</v>
      </c>
      <c r="P46">
        <v>155</v>
      </c>
      <c r="Q46">
        <v>3872</v>
      </c>
      <c r="R46">
        <v>3087</v>
      </c>
      <c r="S46">
        <v>2867</v>
      </c>
      <c r="T46">
        <v>49</v>
      </c>
      <c r="U46">
        <v>36</v>
      </c>
      <c r="V46">
        <v>33</v>
      </c>
    </row>
    <row r="47" spans="1:22" x14ac:dyDescent="0.2">
      <c r="A47" s="1">
        <v>46</v>
      </c>
      <c r="B47">
        <v>367</v>
      </c>
      <c r="C47">
        <v>385</v>
      </c>
      <c r="D47">
        <v>256</v>
      </c>
      <c r="E47">
        <v>368</v>
      </c>
      <c r="F47">
        <v>386</v>
      </c>
      <c r="G47">
        <v>257</v>
      </c>
      <c r="H47">
        <v>408.02452316076301</v>
      </c>
      <c r="I47">
        <v>389.51688311688309</v>
      </c>
      <c r="J47">
        <v>585.4140625</v>
      </c>
      <c r="K47">
        <v>112.6135950999836</v>
      </c>
      <c r="L47">
        <v>96.018500553763459</v>
      </c>
      <c r="M47">
        <v>512.29186729018704</v>
      </c>
      <c r="N47">
        <v>158</v>
      </c>
      <c r="O47">
        <v>152</v>
      </c>
      <c r="P47">
        <v>152</v>
      </c>
      <c r="Q47">
        <v>1283</v>
      </c>
      <c r="R47">
        <v>1032</v>
      </c>
      <c r="S47">
        <v>4766</v>
      </c>
      <c r="T47">
        <v>1</v>
      </c>
      <c r="U47">
        <v>1</v>
      </c>
      <c r="V47">
        <v>30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408</v>
      </c>
      <c r="C51">
        <v>407</v>
      </c>
      <c r="D51">
        <v>320</v>
      </c>
      <c r="E51">
        <v>409</v>
      </c>
      <c r="F51">
        <v>408</v>
      </c>
      <c r="G51">
        <v>321</v>
      </c>
      <c r="H51">
        <v>366.59558823529409</v>
      </c>
      <c r="I51">
        <v>367.44717444717452</v>
      </c>
      <c r="J51">
        <v>467.34375</v>
      </c>
      <c r="K51">
        <v>34.532549615478914</v>
      </c>
      <c r="L51">
        <v>37.618404672120327</v>
      </c>
      <c r="M51">
        <v>287.86670868143932</v>
      </c>
      <c r="N51">
        <v>186</v>
      </c>
      <c r="O51">
        <v>187</v>
      </c>
      <c r="P51">
        <v>152</v>
      </c>
      <c r="Q51">
        <v>511</v>
      </c>
      <c r="R51">
        <v>589</v>
      </c>
      <c r="S51">
        <v>2024</v>
      </c>
      <c r="T51">
        <v>0</v>
      </c>
      <c r="U51">
        <v>0</v>
      </c>
      <c r="V51">
        <v>22</v>
      </c>
    </row>
    <row r="52" spans="1:22" x14ac:dyDescent="0.2">
      <c r="A52" s="1">
        <v>51</v>
      </c>
      <c r="B52">
        <v>334</v>
      </c>
      <c r="C52">
        <v>336</v>
      </c>
      <c r="D52">
        <v>334</v>
      </c>
      <c r="E52">
        <v>335</v>
      </c>
      <c r="F52">
        <v>337</v>
      </c>
      <c r="G52">
        <v>335</v>
      </c>
      <c r="H52">
        <v>447.56586826347308</v>
      </c>
      <c r="I52">
        <v>444.91369047619048</v>
      </c>
      <c r="J52">
        <v>447.57784431137719</v>
      </c>
      <c r="K52">
        <v>72.51509216215544</v>
      </c>
      <c r="L52">
        <v>76.059844800760985</v>
      </c>
      <c r="M52">
        <v>72.19749931300089</v>
      </c>
      <c r="N52">
        <v>187</v>
      </c>
      <c r="O52">
        <v>191</v>
      </c>
      <c r="P52">
        <v>190</v>
      </c>
      <c r="Q52">
        <v>950</v>
      </c>
      <c r="R52">
        <v>950</v>
      </c>
      <c r="S52">
        <v>949</v>
      </c>
      <c r="T52">
        <v>0</v>
      </c>
      <c r="U52">
        <v>0</v>
      </c>
      <c r="V52">
        <v>0</v>
      </c>
    </row>
    <row r="53" spans="1:22" x14ac:dyDescent="0.2">
      <c r="A53" s="1">
        <v>52</v>
      </c>
    </row>
    <row r="54" spans="1:22" x14ac:dyDescent="0.2">
      <c r="A54" s="1">
        <v>53</v>
      </c>
      <c r="B54">
        <v>326</v>
      </c>
      <c r="C54">
        <v>327</v>
      </c>
      <c r="D54">
        <v>143</v>
      </c>
      <c r="E54">
        <v>327</v>
      </c>
      <c r="F54">
        <v>328</v>
      </c>
      <c r="G54">
        <v>144</v>
      </c>
      <c r="H54">
        <v>458.89877300613489</v>
      </c>
      <c r="I54">
        <v>457.49235474006122</v>
      </c>
      <c r="J54">
        <v>893.17482517482517</v>
      </c>
      <c r="K54">
        <v>23.961870962600461</v>
      </c>
      <c r="L54">
        <v>30.534388281920339</v>
      </c>
      <c r="M54">
        <v>1086.822324483431</v>
      </c>
      <c r="N54">
        <v>379</v>
      </c>
      <c r="O54">
        <v>209</v>
      </c>
      <c r="P54">
        <v>161</v>
      </c>
      <c r="Q54">
        <v>515</v>
      </c>
      <c r="R54">
        <v>520</v>
      </c>
      <c r="S54">
        <v>7610</v>
      </c>
      <c r="T54">
        <v>0</v>
      </c>
      <c r="U54">
        <v>0</v>
      </c>
      <c r="V54">
        <v>31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378</v>
      </c>
      <c r="C58">
        <v>373</v>
      </c>
      <c r="D58">
        <v>332</v>
      </c>
      <c r="E58">
        <v>379</v>
      </c>
      <c r="F58">
        <v>374</v>
      </c>
      <c r="G58">
        <v>333</v>
      </c>
      <c r="H58">
        <v>395.37037037037038</v>
      </c>
      <c r="I58">
        <v>400.6756032171582</v>
      </c>
      <c r="J58">
        <v>450.25903614457832</v>
      </c>
      <c r="K58">
        <v>135.36156658599879</v>
      </c>
      <c r="L58">
        <v>155.51872746190099</v>
      </c>
      <c r="M58">
        <v>267.16651134105439</v>
      </c>
      <c r="N58">
        <v>160</v>
      </c>
      <c r="O58">
        <v>151</v>
      </c>
      <c r="P58">
        <v>155</v>
      </c>
      <c r="Q58">
        <v>1971</v>
      </c>
      <c r="R58">
        <v>1592</v>
      </c>
      <c r="S58">
        <v>2987</v>
      </c>
      <c r="T58">
        <v>2</v>
      </c>
      <c r="U58">
        <v>4</v>
      </c>
      <c r="V58">
        <v>17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457</v>
      </c>
      <c r="C72">
        <v>456</v>
      </c>
      <c r="D72">
        <v>366</v>
      </c>
      <c r="E72">
        <v>458</v>
      </c>
      <c r="F72">
        <v>457</v>
      </c>
      <c r="G72">
        <v>367</v>
      </c>
      <c r="H72">
        <v>327.48577680525159</v>
      </c>
      <c r="I72">
        <v>328.13377192982449</v>
      </c>
      <c r="J72">
        <v>408.78415300546447</v>
      </c>
      <c r="K72">
        <v>43.798636062568242</v>
      </c>
      <c r="L72">
        <v>47.775823577291987</v>
      </c>
      <c r="M72">
        <v>214.78867567970039</v>
      </c>
      <c r="N72">
        <v>163</v>
      </c>
      <c r="O72">
        <v>152</v>
      </c>
      <c r="P72">
        <v>155</v>
      </c>
      <c r="Q72">
        <v>698</v>
      </c>
      <c r="R72">
        <v>711</v>
      </c>
      <c r="S72">
        <v>1656</v>
      </c>
      <c r="T72">
        <v>0</v>
      </c>
      <c r="U72">
        <v>0</v>
      </c>
      <c r="V72">
        <v>13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481</v>
      </c>
      <c r="C77">
        <v>480</v>
      </c>
      <c r="D77">
        <v>86</v>
      </c>
      <c r="E77">
        <v>482</v>
      </c>
      <c r="F77">
        <v>481</v>
      </c>
      <c r="G77">
        <v>87</v>
      </c>
      <c r="H77">
        <v>310.98128898128903</v>
      </c>
      <c r="I77">
        <v>312.23124999999999</v>
      </c>
      <c r="J77">
        <v>1730.3372093023261</v>
      </c>
      <c r="K77">
        <v>40.907793460843934</v>
      </c>
      <c r="L77">
        <v>45.440395041920148</v>
      </c>
      <c r="M77">
        <v>2790.709728874444</v>
      </c>
      <c r="N77">
        <v>173</v>
      </c>
      <c r="O77">
        <v>166</v>
      </c>
      <c r="P77">
        <v>153</v>
      </c>
      <c r="Q77">
        <v>648</v>
      </c>
      <c r="R77">
        <v>846</v>
      </c>
      <c r="S77">
        <v>15847</v>
      </c>
      <c r="T77">
        <v>0</v>
      </c>
      <c r="U77">
        <v>0</v>
      </c>
      <c r="V77">
        <v>36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64</v>
      </c>
      <c r="C80">
        <v>70</v>
      </c>
      <c r="D80">
        <v>67</v>
      </c>
      <c r="E80">
        <v>65</v>
      </c>
      <c r="F80">
        <v>71</v>
      </c>
      <c r="G80">
        <v>68</v>
      </c>
      <c r="H80">
        <v>2273.25</v>
      </c>
      <c r="I80">
        <v>2078.6142857142859</v>
      </c>
      <c r="J80">
        <v>2171.7014925373128</v>
      </c>
      <c r="K80">
        <v>6270.4064626106347</v>
      </c>
      <c r="L80">
        <v>5364.5732201709734</v>
      </c>
      <c r="M80">
        <v>4829.7255804310944</v>
      </c>
      <c r="N80">
        <v>176</v>
      </c>
      <c r="O80">
        <v>229</v>
      </c>
      <c r="P80">
        <v>229</v>
      </c>
      <c r="Q80">
        <v>44144</v>
      </c>
      <c r="R80">
        <v>39316</v>
      </c>
      <c r="S80">
        <v>32508</v>
      </c>
      <c r="T80">
        <v>16</v>
      </c>
      <c r="U80">
        <v>18</v>
      </c>
      <c r="V80">
        <v>19</v>
      </c>
    </row>
    <row r="81" spans="1:22" x14ac:dyDescent="0.2">
      <c r="A81" s="1">
        <v>80</v>
      </c>
      <c r="B81">
        <v>388</v>
      </c>
      <c r="C81">
        <v>409</v>
      </c>
      <c r="D81">
        <v>184</v>
      </c>
      <c r="E81">
        <v>389</v>
      </c>
      <c r="F81">
        <v>410</v>
      </c>
      <c r="G81">
        <v>185</v>
      </c>
      <c r="H81">
        <v>372.08505154639181</v>
      </c>
      <c r="I81">
        <v>353.07823960880188</v>
      </c>
      <c r="J81">
        <v>778.96195652173913</v>
      </c>
      <c r="K81">
        <v>130.72576374105489</v>
      </c>
      <c r="L81">
        <v>110.86316305420669</v>
      </c>
      <c r="M81">
        <v>556.20663266174392</v>
      </c>
      <c r="N81">
        <v>166</v>
      </c>
      <c r="O81">
        <v>155</v>
      </c>
      <c r="P81">
        <v>152</v>
      </c>
      <c r="Q81">
        <v>1058</v>
      </c>
      <c r="R81">
        <v>1256</v>
      </c>
      <c r="S81">
        <v>2955</v>
      </c>
      <c r="T81">
        <v>2</v>
      </c>
      <c r="U81">
        <v>3</v>
      </c>
      <c r="V81">
        <v>51</v>
      </c>
    </row>
    <row r="82" spans="1:22" x14ac:dyDescent="0.2">
      <c r="A82" s="1">
        <v>81</v>
      </c>
    </row>
    <row r="83" spans="1:22" x14ac:dyDescent="0.2">
      <c r="A83" s="1">
        <v>82</v>
      </c>
      <c r="B83">
        <v>422</v>
      </c>
      <c r="C83">
        <v>422</v>
      </c>
      <c r="D83">
        <v>1</v>
      </c>
      <c r="E83">
        <v>423</v>
      </c>
      <c r="F83">
        <v>423</v>
      </c>
      <c r="G83">
        <v>2</v>
      </c>
      <c r="H83">
        <v>354.41706161137438</v>
      </c>
      <c r="I83">
        <v>354.42417061611383</v>
      </c>
      <c r="J83">
        <v>1368</v>
      </c>
      <c r="K83">
        <v>28.731147786036729</v>
      </c>
      <c r="L83">
        <v>28.655587453468179</v>
      </c>
      <c r="N83">
        <v>294</v>
      </c>
      <c r="O83">
        <v>296</v>
      </c>
      <c r="P83">
        <v>1368</v>
      </c>
      <c r="Q83">
        <v>446</v>
      </c>
      <c r="R83">
        <v>446</v>
      </c>
      <c r="S83">
        <v>1368</v>
      </c>
      <c r="T83">
        <v>0</v>
      </c>
      <c r="U83">
        <v>0</v>
      </c>
      <c r="V83">
        <v>1</v>
      </c>
    </row>
    <row r="84" spans="1:22" x14ac:dyDescent="0.2">
      <c r="A84" s="1">
        <v>83</v>
      </c>
    </row>
    <row r="85" spans="1:22" x14ac:dyDescent="0.2">
      <c r="A85" s="1">
        <v>84</v>
      </c>
      <c r="B85">
        <v>49</v>
      </c>
      <c r="C85">
        <v>52</v>
      </c>
      <c r="D85">
        <v>48</v>
      </c>
      <c r="E85">
        <v>50</v>
      </c>
      <c r="F85">
        <v>53</v>
      </c>
      <c r="G85">
        <v>49</v>
      </c>
      <c r="H85">
        <v>2730.836734693878</v>
      </c>
      <c r="I85">
        <v>2573</v>
      </c>
      <c r="J85">
        <v>2771.25</v>
      </c>
      <c r="K85">
        <v>3214.1310278916421</v>
      </c>
      <c r="L85">
        <v>3365.828161936714</v>
      </c>
      <c r="M85">
        <v>3472.9586901991488</v>
      </c>
      <c r="N85">
        <v>176</v>
      </c>
      <c r="O85">
        <v>176</v>
      </c>
      <c r="P85">
        <v>152</v>
      </c>
      <c r="Q85">
        <v>15312</v>
      </c>
      <c r="R85">
        <v>16008</v>
      </c>
      <c r="S85">
        <v>16501</v>
      </c>
      <c r="T85">
        <v>29</v>
      </c>
      <c r="U85">
        <v>30</v>
      </c>
      <c r="V85">
        <v>31</v>
      </c>
    </row>
    <row r="86" spans="1:22" x14ac:dyDescent="0.2">
      <c r="A86" s="1">
        <v>85</v>
      </c>
      <c r="B86">
        <v>136</v>
      </c>
      <c r="C86">
        <v>132</v>
      </c>
      <c r="D86">
        <v>82</v>
      </c>
      <c r="E86">
        <v>137</v>
      </c>
      <c r="F86">
        <v>133</v>
      </c>
      <c r="G86">
        <v>83</v>
      </c>
      <c r="H86">
        <v>1074.7794117647061</v>
      </c>
      <c r="I86">
        <v>1098.833333333333</v>
      </c>
      <c r="J86">
        <v>1791.19512195122</v>
      </c>
      <c r="K86">
        <v>1348.4035152243121</v>
      </c>
      <c r="L86">
        <v>1292.459742410043</v>
      </c>
      <c r="M86">
        <v>2208.7612328360919</v>
      </c>
      <c r="N86">
        <v>179</v>
      </c>
      <c r="O86">
        <v>171</v>
      </c>
      <c r="P86">
        <v>232</v>
      </c>
      <c r="Q86">
        <v>6680</v>
      </c>
      <c r="R86">
        <v>6704</v>
      </c>
      <c r="S86">
        <v>12801</v>
      </c>
      <c r="T86">
        <v>38</v>
      </c>
      <c r="U86">
        <v>40</v>
      </c>
      <c r="V86">
        <v>36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V91"/>
  <sheetViews>
    <sheetView workbookViewId="0">
      <selection activeCell="K13" sqref="K13"/>
    </sheetView>
  </sheetViews>
  <sheetFormatPr baseColWidth="10" defaultColWidth="8.83203125" defaultRowHeight="15" x14ac:dyDescent="0.2"/>
  <sheetData>
    <row r="1" spans="1:22" x14ac:dyDescent="0.2">
      <c r="A1" s="1" t="s">
        <v>45</v>
      </c>
      <c r="B1" s="1" t="s">
        <v>23</v>
      </c>
      <c r="C1" s="1" t="s">
        <v>24</v>
      </c>
      <c r="D1" s="1" t="s">
        <v>25</v>
      </c>
      <c r="E1" s="1" t="s">
        <v>152</v>
      </c>
      <c r="F1" s="1" t="s">
        <v>153</v>
      </c>
      <c r="G1" s="1" t="s">
        <v>154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</row>
    <row r="2" spans="1:22" x14ac:dyDescent="0.2">
      <c r="A2" s="1">
        <v>1</v>
      </c>
      <c r="B2">
        <v>362</v>
      </c>
      <c r="C2">
        <v>541</v>
      </c>
      <c r="D2">
        <v>538</v>
      </c>
      <c r="E2">
        <v>363</v>
      </c>
      <c r="F2">
        <v>542</v>
      </c>
      <c r="G2">
        <v>539</v>
      </c>
      <c r="H2">
        <v>351.66574585635362</v>
      </c>
      <c r="I2">
        <v>235.71349353049911</v>
      </c>
      <c r="J2">
        <v>237.02602230483271</v>
      </c>
      <c r="K2">
        <v>387.29601924656339</v>
      </c>
      <c r="L2">
        <v>27.70220580524856</v>
      </c>
      <c r="M2">
        <v>36.089574978618202</v>
      </c>
      <c r="N2">
        <v>167</v>
      </c>
      <c r="O2">
        <v>206</v>
      </c>
      <c r="P2">
        <v>206</v>
      </c>
      <c r="Q2">
        <v>3516</v>
      </c>
      <c r="R2">
        <v>759</v>
      </c>
      <c r="S2">
        <v>760</v>
      </c>
      <c r="T2">
        <v>15</v>
      </c>
      <c r="U2">
        <v>0</v>
      </c>
      <c r="V2">
        <v>0</v>
      </c>
    </row>
    <row r="3" spans="1:22" x14ac:dyDescent="0.2">
      <c r="A3" s="1">
        <v>2</v>
      </c>
      <c r="B3">
        <v>626</v>
      </c>
      <c r="C3">
        <v>626</v>
      </c>
      <c r="D3">
        <v>626</v>
      </c>
      <c r="E3">
        <v>627</v>
      </c>
      <c r="F3">
        <v>627</v>
      </c>
      <c r="G3">
        <v>627</v>
      </c>
      <c r="H3">
        <v>239.22044728434511</v>
      </c>
      <c r="I3">
        <v>239.21884984025559</v>
      </c>
      <c r="J3">
        <v>239.21884984025559</v>
      </c>
      <c r="K3">
        <v>17.735730186254429</v>
      </c>
      <c r="L3">
        <v>17.72388298638354</v>
      </c>
      <c r="M3">
        <v>17.781924196076641</v>
      </c>
      <c r="N3">
        <v>209</v>
      </c>
      <c r="O3">
        <v>209</v>
      </c>
      <c r="P3">
        <v>195</v>
      </c>
      <c r="Q3">
        <v>503</v>
      </c>
      <c r="R3">
        <v>503</v>
      </c>
      <c r="S3">
        <v>503</v>
      </c>
      <c r="T3">
        <v>0</v>
      </c>
      <c r="U3">
        <v>0</v>
      </c>
      <c r="V3">
        <v>0</v>
      </c>
    </row>
    <row r="4" spans="1:22" x14ac:dyDescent="0.2">
      <c r="A4" s="1">
        <v>3</v>
      </c>
    </row>
    <row r="5" spans="1:22" x14ac:dyDescent="0.2">
      <c r="A5" s="1">
        <v>4</v>
      </c>
    </row>
    <row r="6" spans="1:22" x14ac:dyDescent="0.2">
      <c r="A6" s="1">
        <v>5</v>
      </c>
    </row>
    <row r="7" spans="1:22" x14ac:dyDescent="0.2">
      <c r="A7" s="1">
        <v>6</v>
      </c>
    </row>
    <row r="8" spans="1:22" x14ac:dyDescent="0.2">
      <c r="A8" s="1">
        <v>7</v>
      </c>
      <c r="B8">
        <v>383</v>
      </c>
      <c r="C8">
        <v>320</v>
      </c>
      <c r="D8">
        <v>387</v>
      </c>
      <c r="E8">
        <v>384</v>
      </c>
      <c r="F8">
        <v>321</v>
      </c>
      <c r="G8">
        <v>388</v>
      </c>
      <c r="H8">
        <v>223.74151436031329</v>
      </c>
      <c r="I8">
        <v>264.75625000000002</v>
      </c>
      <c r="J8">
        <v>221.41860465116281</v>
      </c>
      <c r="K8">
        <v>48.428968060851041</v>
      </c>
      <c r="L8">
        <v>150.48780647653521</v>
      </c>
      <c r="M8">
        <v>52.433431422046418</v>
      </c>
      <c r="N8">
        <v>169</v>
      </c>
      <c r="O8">
        <v>152</v>
      </c>
      <c r="P8">
        <v>169</v>
      </c>
      <c r="Q8">
        <v>944</v>
      </c>
      <c r="R8">
        <v>1633</v>
      </c>
      <c r="S8">
        <v>1182</v>
      </c>
      <c r="T8">
        <v>0</v>
      </c>
      <c r="U8">
        <v>3</v>
      </c>
      <c r="V8">
        <v>1</v>
      </c>
    </row>
    <row r="9" spans="1:22" x14ac:dyDescent="0.2">
      <c r="A9" s="1">
        <v>8</v>
      </c>
      <c r="B9">
        <v>620</v>
      </c>
      <c r="C9">
        <v>618</v>
      </c>
      <c r="D9">
        <v>13</v>
      </c>
      <c r="E9">
        <v>621</v>
      </c>
      <c r="F9">
        <v>619</v>
      </c>
      <c r="G9">
        <v>14</v>
      </c>
      <c r="H9">
        <v>241.3758064516129</v>
      </c>
      <c r="I9">
        <v>242.1569579288026</v>
      </c>
      <c r="J9">
        <v>10798.153846153849</v>
      </c>
      <c r="K9">
        <v>15.252396569904841</v>
      </c>
      <c r="L9">
        <v>20.27924085195135</v>
      </c>
      <c r="M9">
        <v>11951.10617506565</v>
      </c>
      <c r="N9">
        <v>189</v>
      </c>
      <c r="O9">
        <v>190</v>
      </c>
      <c r="P9">
        <v>339</v>
      </c>
      <c r="Q9">
        <v>305</v>
      </c>
      <c r="R9">
        <v>584</v>
      </c>
      <c r="S9">
        <v>38915</v>
      </c>
      <c r="T9">
        <v>0</v>
      </c>
      <c r="U9">
        <v>0</v>
      </c>
      <c r="V9">
        <v>10</v>
      </c>
    </row>
    <row r="10" spans="1:22" x14ac:dyDescent="0.2">
      <c r="A10" s="1">
        <v>9</v>
      </c>
      <c r="B10">
        <v>370</v>
      </c>
      <c r="C10">
        <v>569</v>
      </c>
      <c r="D10">
        <v>575</v>
      </c>
      <c r="E10">
        <v>371</v>
      </c>
      <c r="F10">
        <v>570</v>
      </c>
      <c r="G10">
        <v>576</v>
      </c>
      <c r="H10">
        <v>403.93783783783778</v>
      </c>
      <c r="I10">
        <v>262.4358523725835</v>
      </c>
      <c r="J10">
        <v>260.14086956521737</v>
      </c>
      <c r="K10">
        <v>375.70983430598187</v>
      </c>
      <c r="L10">
        <v>47.164342370244107</v>
      </c>
      <c r="M10">
        <v>41.111380740863467</v>
      </c>
      <c r="N10">
        <v>167</v>
      </c>
      <c r="O10">
        <v>172</v>
      </c>
      <c r="P10">
        <v>231</v>
      </c>
      <c r="Q10">
        <v>3358</v>
      </c>
      <c r="R10">
        <v>908</v>
      </c>
      <c r="S10">
        <v>1024</v>
      </c>
      <c r="T10">
        <v>23</v>
      </c>
      <c r="U10">
        <v>0</v>
      </c>
      <c r="V10">
        <v>1</v>
      </c>
    </row>
    <row r="11" spans="1:22" x14ac:dyDescent="0.2">
      <c r="A11" s="1">
        <v>10</v>
      </c>
    </row>
    <row r="12" spans="1:22" x14ac:dyDescent="0.2">
      <c r="A12" s="1">
        <v>11</v>
      </c>
    </row>
    <row r="13" spans="1:22" x14ac:dyDescent="0.2">
      <c r="A13" s="1">
        <v>12</v>
      </c>
    </row>
    <row r="14" spans="1:22" x14ac:dyDescent="0.2">
      <c r="A14" s="1">
        <v>13</v>
      </c>
    </row>
    <row r="15" spans="1:22" x14ac:dyDescent="0.2">
      <c r="A15" s="1">
        <v>14</v>
      </c>
      <c r="B15">
        <v>662</v>
      </c>
      <c r="C15">
        <v>662</v>
      </c>
      <c r="D15">
        <v>400</v>
      </c>
      <c r="E15">
        <v>663</v>
      </c>
      <c r="F15">
        <v>663</v>
      </c>
      <c r="G15">
        <v>401</v>
      </c>
      <c r="H15">
        <v>226.46676737160121</v>
      </c>
      <c r="I15">
        <v>226.46827794561929</v>
      </c>
      <c r="J15">
        <v>374.91250000000002</v>
      </c>
      <c r="K15">
        <v>6.354000834069617</v>
      </c>
      <c r="L15">
        <v>6.282414742979876</v>
      </c>
      <c r="M15">
        <v>203.93764058375089</v>
      </c>
      <c r="N15">
        <v>182</v>
      </c>
      <c r="O15">
        <v>185</v>
      </c>
      <c r="P15">
        <v>152</v>
      </c>
      <c r="Q15">
        <v>251</v>
      </c>
      <c r="R15">
        <v>244</v>
      </c>
      <c r="S15">
        <v>1688</v>
      </c>
      <c r="T15">
        <v>0</v>
      </c>
      <c r="U15">
        <v>0</v>
      </c>
      <c r="V15">
        <v>5</v>
      </c>
    </row>
    <row r="16" spans="1:22" x14ac:dyDescent="0.2">
      <c r="A16" s="1">
        <v>15</v>
      </c>
    </row>
    <row r="17" spans="1:22" x14ac:dyDescent="0.2">
      <c r="A17" s="1">
        <v>16</v>
      </c>
      <c r="B17">
        <v>610</v>
      </c>
      <c r="C17">
        <v>610</v>
      </c>
      <c r="D17">
        <v>163</v>
      </c>
      <c r="E17">
        <v>611</v>
      </c>
      <c r="F17">
        <v>611</v>
      </c>
      <c r="G17">
        <v>164</v>
      </c>
      <c r="H17">
        <v>244.95245901639339</v>
      </c>
      <c r="I17">
        <v>244.95245901639339</v>
      </c>
      <c r="J17">
        <v>894.14110429447851</v>
      </c>
      <c r="K17">
        <v>11.17303972083729</v>
      </c>
      <c r="L17">
        <v>11.6394678010671</v>
      </c>
      <c r="M17">
        <v>1529.0760176070371</v>
      </c>
      <c r="N17">
        <v>222</v>
      </c>
      <c r="O17">
        <v>221</v>
      </c>
      <c r="P17">
        <v>184</v>
      </c>
      <c r="Q17">
        <v>283</v>
      </c>
      <c r="R17">
        <v>287</v>
      </c>
      <c r="S17">
        <v>12909</v>
      </c>
      <c r="T17">
        <v>0</v>
      </c>
      <c r="U17">
        <v>0</v>
      </c>
      <c r="V17">
        <v>32</v>
      </c>
    </row>
    <row r="18" spans="1:22" x14ac:dyDescent="0.2">
      <c r="A18" s="1">
        <v>17</v>
      </c>
    </row>
    <row r="19" spans="1:22" x14ac:dyDescent="0.2">
      <c r="A19" s="1">
        <v>18</v>
      </c>
      <c r="B19">
        <v>529</v>
      </c>
      <c r="C19">
        <v>519</v>
      </c>
      <c r="D19">
        <v>409</v>
      </c>
      <c r="E19">
        <v>530</v>
      </c>
      <c r="F19">
        <v>520</v>
      </c>
      <c r="G19">
        <v>410</v>
      </c>
      <c r="H19">
        <v>282.86578449905483</v>
      </c>
      <c r="I19">
        <v>288.30828516377647</v>
      </c>
      <c r="J19">
        <v>364.51344743276292</v>
      </c>
      <c r="K19">
        <v>13.7921166753073</v>
      </c>
      <c r="L19">
        <v>52.662777150912873</v>
      </c>
      <c r="M19">
        <v>170.44354030431441</v>
      </c>
      <c r="N19">
        <v>222</v>
      </c>
      <c r="O19">
        <v>233</v>
      </c>
      <c r="P19">
        <v>152</v>
      </c>
      <c r="Q19">
        <v>334</v>
      </c>
      <c r="R19">
        <v>1030</v>
      </c>
      <c r="S19">
        <v>2076</v>
      </c>
      <c r="T19">
        <v>0</v>
      </c>
      <c r="U19">
        <v>1</v>
      </c>
      <c r="V19">
        <v>3</v>
      </c>
    </row>
    <row r="20" spans="1:22" x14ac:dyDescent="0.2">
      <c r="A20" s="1">
        <v>19</v>
      </c>
    </row>
    <row r="21" spans="1:22" x14ac:dyDescent="0.2">
      <c r="A21" s="1">
        <v>20</v>
      </c>
    </row>
    <row r="22" spans="1:22" x14ac:dyDescent="0.2">
      <c r="A22" s="1">
        <v>21</v>
      </c>
    </row>
    <row r="23" spans="1:22" x14ac:dyDescent="0.2">
      <c r="A23" s="1">
        <v>22</v>
      </c>
      <c r="B23">
        <v>622</v>
      </c>
      <c r="C23">
        <v>623</v>
      </c>
      <c r="D23">
        <v>607</v>
      </c>
      <c r="E23">
        <v>623</v>
      </c>
      <c r="F23">
        <v>624</v>
      </c>
      <c r="G23">
        <v>608</v>
      </c>
      <c r="H23">
        <v>240.58038585208999</v>
      </c>
      <c r="I23">
        <v>240.53772070625999</v>
      </c>
      <c r="J23">
        <v>246.87808896210871</v>
      </c>
      <c r="K23">
        <v>15.034553905022261</v>
      </c>
      <c r="L23">
        <v>12.199234568484931</v>
      </c>
      <c r="M23">
        <v>32.395120914239207</v>
      </c>
      <c r="N23">
        <v>190</v>
      </c>
      <c r="O23">
        <v>209</v>
      </c>
      <c r="P23">
        <v>155</v>
      </c>
      <c r="Q23">
        <v>303</v>
      </c>
      <c r="R23">
        <v>303</v>
      </c>
      <c r="S23">
        <v>505</v>
      </c>
      <c r="T23">
        <v>0</v>
      </c>
      <c r="U23">
        <v>0</v>
      </c>
      <c r="V23">
        <v>0</v>
      </c>
    </row>
    <row r="24" spans="1:22" x14ac:dyDescent="0.2">
      <c r="A24" s="1">
        <v>23</v>
      </c>
    </row>
    <row r="25" spans="1:22" x14ac:dyDescent="0.2">
      <c r="A25" s="1">
        <v>24</v>
      </c>
      <c r="B25">
        <v>589</v>
      </c>
      <c r="C25">
        <v>587</v>
      </c>
      <c r="D25">
        <v>413</v>
      </c>
      <c r="E25">
        <v>590</v>
      </c>
      <c r="F25">
        <v>588</v>
      </c>
      <c r="G25">
        <v>414</v>
      </c>
      <c r="H25">
        <v>254.31748726655351</v>
      </c>
      <c r="I25">
        <v>255.18398637137989</v>
      </c>
      <c r="J25">
        <v>362.96610169491532</v>
      </c>
      <c r="K25">
        <v>26.26097534990835</v>
      </c>
      <c r="L25">
        <v>46.230948100149547</v>
      </c>
      <c r="M25">
        <v>202.60590857110179</v>
      </c>
      <c r="N25">
        <v>216</v>
      </c>
      <c r="O25">
        <v>201</v>
      </c>
      <c r="P25">
        <v>152</v>
      </c>
      <c r="Q25">
        <v>815</v>
      </c>
      <c r="R25">
        <v>1331</v>
      </c>
      <c r="S25">
        <v>2637</v>
      </c>
      <c r="T25">
        <v>0</v>
      </c>
      <c r="U25">
        <v>1</v>
      </c>
      <c r="V25">
        <v>4</v>
      </c>
    </row>
    <row r="26" spans="1:22" x14ac:dyDescent="0.2">
      <c r="A26" s="1">
        <v>25</v>
      </c>
    </row>
    <row r="27" spans="1:22" x14ac:dyDescent="0.2">
      <c r="A27" s="1">
        <v>26</v>
      </c>
    </row>
    <row r="28" spans="1:22" x14ac:dyDescent="0.2">
      <c r="A28" s="1">
        <v>27</v>
      </c>
    </row>
    <row r="29" spans="1:22" x14ac:dyDescent="0.2">
      <c r="A29" s="1">
        <v>28</v>
      </c>
    </row>
    <row r="30" spans="1:22" x14ac:dyDescent="0.2">
      <c r="A30" s="1">
        <v>29</v>
      </c>
    </row>
    <row r="31" spans="1:22" x14ac:dyDescent="0.2">
      <c r="A31" s="1">
        <v>30</v>
      </c>
      <c r="B31">
        <v>673</v>
      </c>
      <c r="D31">
        <v>1</v>
      </c>
      <c r="E31">
        <v>674</v>
      </c>
      <c r="G31">
        <v>2</v>
      </c>
      <c r="H31">
        <v>222.47696879643391</v>
      </c>
      <c r="J31">
        <v>47740</v>
      </c>
      <c r="K31">
        <v>9.8108520011570963</v>
      </c>
      <c r="N31">
        <v>191</v>
      </c>
      <c r="P31">
        <v>47740</v>
      </c>
      <c r="Q31">
        <v>263</v>
      </c>
      <c r="S31">
        <v>47740</v>
      </c>
      <c r="T31">
        <v>0</v>
      </c>
      <c r="V31">
        <v>1</v>
      </c>
    </row>
    <row r="32" spans="1:22" x14ac:dyDescent="0.2">
      <c r="A32" s="1">
        <v>31</v>
      </c>
      <c r="B32">
        <v>501</v>
      </c>
      <c r="D32">
        <v>253</v>
      </c>
      <c r="E32">
        <v>502</v>
      </c>
      <c r="G32">
        <v>1</v>
      </c>
      <c r="H32">
        <v>298.70658682634729</v>
      </c>
      <c r="J32">
        <v>37238.213438735183</v>
      </c>
      <c r="K32">
        <v>37.635245934189747</v>
      </c>
      <c r="M32">
        <v>21921.797846420872</v>
      </c>
      <c r="N32">
        <v>246</v>
      </c>
      <c r="P32">
        <v>254</v>
      </c>
      <c r="Q32">
        <v>441</v>
      </c>
      <c r="S32">
        <v>74994</v>
      </c>
      <c r="T32">
        <v>0</v>
      </c>
      <c r="V32">
        <v>250</v>
      </c>
    </row>
    <row r="33" spans="1:22" x14ac:dyDescent="0.2">
      <c r="A33" s="1">
        <v>32</v>
      </c>
    </row>
    <row r="34" spans="1:22" x14ac:dyDescent="0.2">
      <c r="A34" s="1">
        <v>33</v>
      </c>
      <c r="B34">
        <v>227</v>
      </c>
      <c r="D34">
        <v>5</v>
      </c>
      <c r="E34">
        <v>228</v>
      </c>
      <c r="G34">
        <v>6</v>
      </c>
      <c r="H34">
        <v>239.2643171806167</v>
      </c>
      <c r="J34">
        <v>5747.2</v>
      </c>
      <c r="K34">
        <v>45.879996459075628</v>
      </c>
      <c r="M34">
        <v>6519.8498218900722</v>
      </c>
      <c r="N34">
        <v>159</v>
      </c>
      <c r="P34">
        <v>271</v>
      </c>
      <c r="Q34">
        <v>806</v>
      </c>
      <c r="S34">
        <v>13949</v>
      </c>
      <c r="T34">
        <v>0</v>
      </c>
      <c r="V34">
        <v>4</v>
      </c>
    </row>
    <row r="35" spans="1:22" x14ac:dyDescent="0.2">
      <c r="A35" s="1">
        <v>34</v>
      </c>
    </row>
    <row r="36" spans="1:22" x14ac:dyDescent="0.2">
      <c r="A36" s="1">
        <v>35</v>
      </c>
    </row>
    <row r="37" spans="1:22" x14ac:dyDescent="0.2">
      <c r="A37" s="1">
        <v>36</v>
      </c>
    </row>
    <row r="38" spans="1:22" x14ac:dyDescent="0.2">
      <c r="A38" s="1">
        <v>37</v>
      </c>
    </row>
    <row r="39" spans="1:22" x14ac:dyDescent="0.2">
      <c r="A39" s="1">
        <v>38</v>
      </c>
    </row>
    <row r="40" spans="1:22" x14ac:dyDescent="0.2">
      <c r="A40" s="1">
        <v>39</v>
      </c>
    </row>
    <row r="41" spans="1:22" x14ac:dyDescent="0.2">
      <c r="A41" s="1">
        <v>40</v>
      </c>
    </row>
    <row r="42" spans="1:22" x14ac:dyDescent="0.2">
      <c r="A42" s="1">
        <v>41</v>
      </c>
    </row>
    <row r="43" spans="1:22" x14ac:dyDescent="0.2">
      <c r="A43" s="1">
        <v>42</v>
      </c>
      <c r="B43">
        <v>206</v>
      </c>
      <c r="D43">
        <v>129</v>
      </c>
      <c r="E43">
        <v>207</v>
      </c>
      <c r="G43">
        <v>81</v>
      </c>
      <c r="H43">
        <v>229.22330097087379</v>
      </c>
      <c r="J43">
        <v>233.84496124031011</v>
      </c>
      <c r="K43">
        <v>26.006540280151089</v>
      </c>
      <c r="M43">
        <v>20.935335564394439</v>
      </c>
      <c r="N43">
        <v>192</v>
      </c>
      <c r="P43">
        <v>197</v>
      </c>
      <c r="Q43">
        <v>342</v>
      </c>
      <c r="S43">
        <v>414</v>
      </c>
      <c r="T43">
        <v>0</v>
      </c>
      <c r="V43">
        <v>0</v>
      </c>
    </row>
    <row r="44" spans="1:22" x14ac:dyDescent="0.2">
      <c r="A44" s="1">
        <v>43</v>
      </c>
    </row>
    <row r="45" spans="1:22" x14ac:dyDescent="0.2">
      <c r="A45" s="1">
        <v>44</v>
      </c>
      <c r="B45">
        <v>499</v>
      </c>
      <c r="C45">
        <v>408</v>
      </c>
      <c r="D45">
        <v>254</v>
      </c>
      <c r="E45">
        <v>500</v>
      </c>
      <c r="F45">
        <v>409</v>
      </c>
      <c r="G45">
        <v>255</v>
      </c>
      <c r="H45">
        <v>298.73346693386782</v>
      </c>
      <c r="I45">
        <v>362.17892156862752</v>
      </c>
      <c r="J45">
        <v>579.96850393700788</v>
      </c>
      <c r="K45">
        <v>183.3298733760889</v>
      </c>
      <c r="L45">
        <v>330.92750283779782</v>
      </c>
      <c r="M45">
        <v>606.6564745022182</v>
      </c>
      <c r="N45">
        <v>180</v>
      </c>
      <c r="O45">
        <v>159</v>
      </c>
      <c r="P45">
        <v>186</v>
      </c>
      <c r="Q45">
        <v>2032</v>
      </c>
      <c r="R45">
        <v>2945</v>
      </c>
      <c r="S45">
        <v>3436</v>
      </c>
      <c r="T45">
        <v>12</v>
      </c>
      <c r="U45">
        <v>21</v>
      </c>
      <c r="V45">
        <v>41</v>
      </c>
    </row>
    <row r="46" spans="1:22" x14ac:dyDescent="0.2">
      <c r="A46" s="1">
        <v>45</v>
      </c>
      <c r="B46">
        <v>486</v>
      </c>
      <c r="C46">
        <v>272</v>
      </c>
      <c r="D46">
        <v>321</v>
      </c>
      <c r="E46">
        <v>487</v>
      </c>
      <c r="F46">
        <v>273</v>
      </c>
      <c r="G46">
        <v>322</v>
      </c>
      <c r="H46">
        <v>307.57818930041151</v>
      </c>
      <c r="I46">
        <v>545.55147058823525</v>
      </c>
      <c r="J46">
        <v>465.26791277258559</v>
      </c>
      <c r="K46">
        <v>155.3560627879132</v>
      </c>
      <c r="L46">
        <v>403.75944246283967</v>
      </c>
      <c r="M46">
        <v>282.31757915234817</v>
      </c>
      <c r="N46">
        <v>161</v>
      </c>
      <c r="O46">
        <v>160</v>
      </c>
      <c r="P46">
        <v>151</v>
      </c>
      <c r="Q46">
        <v>1524</v>
      </c>
      <c r="R46">
        <v>3432</v>
      </c>
      <c r="S46">
        <v>2084</v>
      </c>
      <c r="T46">
        <v>7</v>
      </c>
      <c r="U46">
        <v>31</v>
      </c>
      <c r="V46">
        <v>18</v>
      </c>
    </row>
    <row r="47" spans="1:22" x14ac:dyDescent="0.2">
      <c r="A47" s="1">
        <v>46</v>
      </c>
      <c r="B47">
        <v>16</v>
      </c>
      <c r="C47">
        <v>15</v>
      </c>
      <c r="D47">
        <v>49</v>
      </c>
      <c r="E47">
        <v>17</v>
      </c>
      <c r="F47">
        <v>16</v>
      </c>
      <c r="G47">
        <v>50</v>
      </c>
      <c r="H47">
        <v>8643.9375</v>
      </c>
      <c r="I47">
        <v>9220.2000000000007</v>
      </c>
      <c r="J47">
        <v>2822.5306122448978</v>
      </c>
      <c r="K47">
        <v>8799.8569039028516</v>
      </c>
      <c r="L47">
        <v>10902.27040705611</v>
      </c>
      <c r="M47">
        <v>4135.5999569895184</v>
      </c>
      <c r="N47">
        <v>212</v>
      </c>
      <c r="O47">
        <v>212</v>
      </c>
      <c r="P47">
        <v>168</v>
      </c>
      <c r="Q47">
        <v>29177</v>
      </c>
      <c r="R47">
        <v>36906</v>
      </c>
      <c r="S47">
        <v>24672</v>
      </c>
      <c r="T47">
        <v>12</v>
      </c>
      <c r="U47">
        <v>10</v>
      </c>
      <c r="V47">
        <v>24</v>
      </c>
    </row>
    <row r="48" spans="1:22" x14ac:dyDescent="0.2">
      <c r="A48" s="1">
        <v>47</v>
      </c>
    </row>
    <row r="49" spans="1:22" x14ac:dyDescent="0.2">
      <c r="A49" s="1">
        <v>48</v>
      </c>
    </row>
    <row r="50" spans="1:22" x14ac:dyDescent="0.2">
      <c r="A50" s="1">
        <v>49</v>
      </c>
    </row>
    <row r="51" spans="1:22" x14ac:dyDescent="0.2">
      <c r="A51" s="1">
        <v>50</v>
      </c>
      <c r="B51">
        <v>514</v>
      </c>
      <c r="C51">
        <v>514</v>
      </c>
      <c r="D51">
        <v>514</v>
      </c>
      <c r="E51">
        <v>515</v>
      </c>
      <c r="F51">
        <v>515</v>
      </c>
      <c r="G51">
        <v>515</v>
      </c>
      <c r="H51">
        <v>291.55058365758748</v>
      </c>
      <c r="I51">
        <v>291.55252918287943</v>
      </c>
      <c r="J51">
        <v>291.5544747081712</v>
      </c>
      <c r="K51">
        <v>24.135791320373752</v>
      </c>
      <c r="L51">
        <v>24.19016126388642</v>
      </c>
      <c r="M51">
        <v>24.131905821410651</v>
      </c>
      <c r="N51">
        <v>236</v>
      </c>
      <c r="O51">
        <v>233</v>
      </c>
      <c r="P51">
        <v>235</v>
      </c>
      <c r="Q51">
        <v>402</v>
      </c>
      <c r="R51">
        <v>402</v>
      </c>
      <c r="S51">
        <v>403</v>
      </c>
      <c r="T51">
        <v>0</v>
      </c>
      <c r="U51">
        <v>0</v>
      </c>
      <c r="V51">
        <v>0</v>
      </c>
    </row>
    <row r="52" spans="1:22" x14ac:dyDescent="0.2">
      <c r="A52" s="1">
        <v>51</v>
      </c>
      <c r="B52">
        <v>586</v>
      </c>
      <c r="C52">
        <v>586</v>
      </c>
      <c r="D52">
        <v>354</v>
      </c>
      <c r="E52">
        <v>587</v>
      </c>
      <c r="F52">
        <v>587</v>
      </c>
      <c r="G52">
        <v>355</v>
      </c>
      <c r="H52">
        <v>255.36689419795221</v>
      </c>
      <c r="I52">
        <v>255.36689419795221</v>
      </c>
      <c r="J52">
        <v>421.80790960451981</v>
      </c>
      <c r="K52">
        <v>23.041624087592329</v>
      </c>
      <c r="L52">
        <v>23.02128772369527</v>
      </c>
      <c r="M52">
        <v>218.78110017919249</v>
      </c>
      <c r="N52">
        <v>204</v>
      </c>
      <c r="O52">
        <v>204</v>
      </c>
      <c r="P52">
        <v>152</v>
      </c>
      <c r="Q52">
        <v>379</v>
      </c>
      <c r="R52">
        <v>379</v>
      </c>
      <c r="S52">
        <v>1488</v>
      </c>
      <c r="T52">
        <v>0</v>
      </c>
      <c r="U52">
        <v>0</v>
      </c>
      <c r="V52">
        <v>10</v>
      </c>
    </row>
    <row r="53" spans="1:22" x14ac:dyDescent="0.2">
      <c r="A53" s="1">
        <v>52</v>
      </c>
    </row>
    <row r="54" spans="1:22" x14ac:dyDescent="0.2">
      <c r="A54" s="1">
        <v>53</v>
      </c>
      <c r="B54">
        <v>323</v>
      </c>
      <c r="C54">
        <v>306</v>
      </c>
      <c r="D54">
        <v>238</v>
      </c>
      <c r="E54">
        <v>324</v>
      </c>
      <c r="F54">
        <v>307</v>
      </c>
      <c r="G54">
        <v>239</v>
      </c>
      <c r="H54">
        <v>462.93808049535602</v>
      </c>
      <c r="I54">
        <v>488.87254901960779</v>
      </c>
      <c r="J54">
        <v>628.3739495798319</v>
      </c>
      <c r="K54">
        <v>344.13058496463998</v>
      </c>
      <c r="L54">
        <v>417.62897499116332</v>
      </c>
      <c r="M54">
        <v>464.40362245634958</v>
      </c>
      <c r="N54">
        <v>156</v>
      </c>
      <c r="O54">
        <v>158</v>
      </c>
      <c r="P54">
        <v>153</v>
      </c>
      <c r="Q54">
        <v>3020</v>
      </c>
      <c r="R54">
        <v>3371</v>
      </c>
      <c r="S54">
        <v>3257</v>
      </c>
      <c r="T54">
        <v>21</v>
      </c>
      <c r="U54">
        <v>23</v>
      </c>
      <c r="V54">
        <v>41</v>
      </c>
    </row>
    <row r="55" spans="1:22" x14ac:dyDescent="0.2">
      <c r="A55" s="1">
        <v>54</v>
      </c>
    </row>
    <row r="56" spans="1:22" x14ac:dyDescent="0.2">
      <c r="A56" s="1">
        <v>55</v>
      </c>
    </row>
    <row r="57" spans="1:22" x14ac:dyDescent="0.2">
      <c r="A57" s="1">
        <v>56</v>
      </c>
    </row>
    <row r="58" spans="1:22" x14ac:dyDescent="0.2">
      <c r="A58" s="1">
        <v>57</v>
      </c>
      <c r="B58">
        <v>592</v>
      </c>
      <c r="C58">
        <v>592</v>
      </c>
      <c r="D58">
        <v>375</v>
      </c>
      <c r="E58">
        <v>593</v>
      </c>
      <c r="F58">
        <v>593</v>
      </c>
      <c r="G58">
        <v>376</v>
      </c>
      <c r="H58">
        <v>252.40033783783781</v>
      </c>
      <c r="I58">
        <v>252.39864864864859</v>
      </c>
      <c r="J58">
        <v>398.45600000000002</v>
      </c>
      <c r="K58">
        <v>21.028307403060719</v>
      </c>
      <c r="L58">
        <v>20.690529271984669</v>
      </c>
      <c r="M58">
        <v>223.13852094475251</v>
      </c>
      <c r="N58">
        <v>195</v>
      </c>
      <c r="O58">
        <v>215</v>
      </c>
      <c r="P58">
        <v>155</v>
      </c>
      <c r="Q58">
        <v>467</v>
      </c>
      <c r="R58">
        <v>471</v>
      </c>
      <c r="S58">
        <v>1700</v>
      </c>
      <c r="T58">
        <v>0</v>
      </c>
      <c r="U58">
        <v>0</v>
      </c>
      <c r="V58">
        <v>9</v>
      </c>
    </row>
    <row r="59" spans="1:22" x14ac:dyDescent="0.2">
      <c r="A59" s="1">
        <v>58</v>
      </c>
    </row>
    <row r="60" spans="1:22" x14ac:dyDescent="0.2">
      <c r="A60" s="1">
        <v>59</v>
      </c>
    </row>
    <row r="61" spans="1:22" x14ac:dyDescent="0.2">
      <c r="A61" s="1">
        <v>60</v>
      </c>
    </row>
    <row r="62" spans="1:22" x14ac:dyDescent="0.2">
      <c r="A62" s="1">
        <v>61</v>
      </c>
    </row>
    <row r="63" spans="1:22" x14ac:dyDescent="0.2">
      <c r="A63" s="1">
        <v>62</v>
      </c>
    </row>
    <row r="64" spans="1:22" x14ac:dyDescent="0.2">
      <c r="A64" s="1">
        <v>63</v>
      </c>
    </row>
    <row r="65" spans="1:22" x14ac:dyDescent="0.2">
      <c r="A65" s="1">
        <v>64</v>
      </c>
    </row>
    <row r="66" spans="1:22" x14ac:dyDescent="0.2">
      <c r="A66" s="1">
        <v>65</v>
      </c>
    </row>
    <row r="67" spans="1:22" x14ac:dyDescent="0.2">
      <c r="A67" s="1">
        <v>66</v>
      </c>
    </row>
    <row r="68" spans="1:22" x14ac:dyDescent="0.2">
      <c r="A68" s="1">
        <v>67</v>
      </c>
      <c r="B68">
        <v>83</v>
      </c>
      <c r="C68">
        <v>122</v>
      </c>
      <c r="D68">
        <v>78</v>
      </c>
      <c r="E68">
        <v>84</v>
      </c>
      <c r="F68">
        <v>123</v>
      </c>
      <c r="G68">
        <v>79</v>
      </c>
      <c r="H68">
        <v>1768.4457831325301</v>
      </c>
      <c r="I68">
        <v>1183.7131147540979</v>
      </c>
      <c r="J68">
        <v>1881.9102564102559</v>
      </c>
      <c r="K68">
        <v>2083.5011530957968</v>
      </c>
      <c r="L68">
        <v>1653.458131628897</v>
      </c>
      <c r="M68">
        <v>3805.4993398511742</v>
      </c>
      <c r="N68">
        <v>161</v>
      </c>
      <c r="O68">
        <v>155</v>
      </c>
      <c r="P68">
        <v>184</v>
      </c>
      <c r="Q68">
        <v>10320</v>
      </c>
      <c r="R68">
        <v>12539</v>
      </c>
      <c r="S68">
        <v>31833</v>
      </c>
      <c r="T68">
        <v>40</v>
      </c>
      <c r="U68">
        <v>41</v>
      </c>
      <c r="V68">
        <v>39</v>
      </c>
    </row>
    <row r="69" spans="1:22" x14ac:dyDescent="0.2">
      <c r="A69" s="1">
        <v>68</v>
      </c>
    </row>
    <row r="70" spans="1:22" x14ac:dyDescent="0.2">
      <c r="A70" s="1">
        <v>69</v>
      </c>
    </row>
    <row r="71" spans="1:22" x14ac:dyDescent="0.2">
      <c r="A71" s="1">
        <v>70</v>
      </c>
    </row>
    <row r="72" spans="1:22" x14ac:dyDescent="0.2">
      <c r="A72" s="1">
        <v>71</v>
      </c>
      <c r="B72">
        <v>655</v>
      </c>
      <c r="C72">
        <v>655</v>
      </c>
      <c r="D72">
        <v>597</v>
      </c>
      <c r="E72">
        <v>656</v>
      </c>
      <c r="F72">
        <v>656</v>
      </c>
      <c r="G72">
        <v>598</v>
      </c>
      <c r="H72">
        <v>228.6916030534351</v>
      </c>
      <c r="I72">
        <v>228.6916030534351</v>
      </c>
      <c r="J72">
        <v>250.7286432160804</v>
      </c>
      <c r="K72">
        <v>12.87790843707751</v>
      </c>
      <c r="L72">
        <v>12.81733009601472</v>
      </c>
      <c r="M72">
        <v>70.541720248653348</v>
      </c>
      <c r="N72">
        <v>200</v>
      </c>
      <c r="O72">
        <v>200</v>
      </c>
      <c r="P72">
        <v>153</v>
      </c>
      <c r="Q72">
        <v>281</v>
      </c>
      <c r="R72">
        <v>281</v>
      </c>
      <c r="S72">
        <v>951</v>
      </c>
      <c r="T72">
        <v>0</v>
      </c>
      <c r="U72">
        <v>0</v>
      </c>
      <c r="V72">
        <v>0</v>
      </c>
    </row>
    <row r="73" spans="1:22" x14ac:dyDescent="0.2">
      <c r="A73" s="1">
        <v>72</v>
      </c>
    </row>
    <row r="74" spans="1:22" x14ac:dyDescent="0.2">
      <c r="A74" s="1">
        <v>73</v>
      </c>
    </row>
    <row r="75" spans="1:22" x14ac:dyDescent="0.2">
      <c r="A75" s="1">
        <v>74</v>
      </c>
    </row>
    <row r="76" spans="1:22" x14ac:dyDescent="0.2">
      <c r="A76" s="1">
        <v>75</v>
      </c>
    </row>
    <row r="77" spans="1:22" x14ac:dyDescent="0.2">
      <c r="A77" s="1">
        <v>76</v>
      </c>
      <c r="B77">
        <v>637</v>
      </c>
      <c r="C77">
        <v>566</v>
      </c>
      <c r="D77">
        <v>447</v>
      </c>
      <c r="E77">
        <v>638</v>
      </c>
      <c r="F77">
        <v>567</v>
      </c>
      <c r="G77">
        <v>448</v>
      </c>
      <c r="H77">
        <v>235.35635792778649</v>
      </c>
      <c r="I77">
        <v>264.52473498233218</v>
      </c>
      <c r="J77">
        <v>334.94854586129748</v>
      </c>
      <c r="K77">
        <v>181.9372347831827</v>
      </c>
      <c r="L77">
        <v>221.88690874419231</v>
      </c>
      <c r="M77">
        <v>340.28799401565601</v>
      </c>
      <c r="N77">
        <v>161</v>
      </c>
      <c r="O77">
        <v>167</v>
      </c>
      <c r="P77">
        <v>153</v>
      </c>
      <c r="Q77">
        <v>3597</v>
      </c>
      <c r="R77">
        <v>3585</v>
      </c>
      <c r="S77">
        <v>3580</v>
      </c>
      <c r="T77">
        <v>7</v>
      </c>
      <c r="U77">
        <v>10</v>
      </c>
      <c r="V77">
        <v>20</v>
      </c>
    </row>
    <row r="78" spans="1:22" x14ac:dyDescent="0.2">
      <c r="A78" s="1">
        <v>77</v>
      </c>
    </row>
    <row r="79" spans="1:22" x14ac:dyDescent="0.2">
      <c r="A79" s="1">
        <v>78</v>
      </c>
    </row>
    <row r="80" spans="1:22" x14ac:dyDescent="0.2">
      <c r="A80" s="1">
        <v>79</v>
      </c>
      <c r="B80">
        <v>595</v>
      </c>
      <c r="C80">
        <v>592</v>
      </c>
      <c r="D80">
        <v>181</v>
      </c>
      <c r="E80">
        <v>596</v>
      </c>
      <c r="F80">
        <v>593</v>
      </c>
      <c r="G80">
        <v>182</v>
      </c>
      <c r="H80">
        <v>252.23025210084029</v>
      </c>
      <c r="I80">
        <v>253.50844594594591</v>
      </c>
      <c r="J80">
        <v>829.39226519337012</v>
      </c>
      <c r="K80">
        <v>24.752833918025939</v>
      </c>
      <c r="L80">
        <v>39.572845245566569</v>
      </c>
      <c r="M80">
        <v>765.91275666927595</v>
      </c>
      <c r="N80">
        <v>188</v>
      </c>
      <c r="O80">
        <v>206</v>
      </c>
      <c r="P80">
        <v>151</v>
      </c>
      <c r="Q80">
        <v>385</v>
      </c>
      <c r="R80">
        <v>1042</v>
      </c>
      <c r="S80">
        <v>5040</v>
      </c>
      <c r="T80">
        <v>0</v>
      </c>
      <c r="U80">
        <v>1</v>
      </c>
      <c r="V80">
        <v>44</v>
      </c>
    </row>
    <row r="81" spans="1:22" x14ac:dyDescent="0.2">
      <c r="A81" s="1">
        <v>80</v>
      </c>
      <c r="B81">
        <v>705</v>
      </c>
      <c r="C81">
        <v>705</v>
      </c>
      <c r="D81">
        <v>57</v>
      </c>
      <c r="E81">
        <v>706</v>
      </c>
      <c r="F81">
        <v>706</v>
      </c>
      <c r="G81">
        <v>58</v>
      </c>
      <c r="H81">
        <v>204.87234042553189</v>
      </c>
      <c r="I81">
        <v>205.1631205673759</v>
      </c>
      <c r="J81">
        <v>2389.4736842105258</v>
      </c>
      <c r="K81">
        <v>13.48771066470715</v>
      </c>
      <c r="L81">
        <v>12.700675600249481</v>
      </c>
      <c r="M81">
        <v>2820.0982828951142</v>
      </c>
      <c r="N81">
        <v>152</v>
      </c>
      <c r="O81">
        <v>165</v>
      </c>
      <c r="P81">
        <v>196</v>
      </c>
      <c r="Q81">
        <v>376</v>
      </c>
      <c r="R81">
        <v>397</v>
      </c>
      <c r="S81">
        <v>15572</v>
      </c>
      <c r="T81">
        <v>0</v>
      </c>
      <c r="U81">
        <v>0</v>
      </c>
      <c r="V81">
        <v>31</v>
      </c>
    </row>
    <row r="82" spans="1:22" x14ac:dyDescent="0.2">
      <c r="A82" s="1">
        <v>81</v>
      </c>
    </row>
    <row r="83" spans="1:22" x14ac:dyDescent="0.2">
      <c r="A83" s="1">
        <v>82</v>
      </c>
    </row>
    <row r="84" spans="1:22" x14ac:dyDescent="0.2">
      <c r="A84" s="1">
        <v>83</v>
      </c>
    </row>
    <row r="85" spans="1:22" x14ac:dyDescent="0.2">
      <c r="A85" s="1">
        <v>84</v>
      </c>
      <c r="B85">
        <v>612</v>
      </c>
      <c r="C85">
        <v>612</v>
      </c>
      <c r="D85">
        <v>66</v>
      </c>
      <c r="E85">
        <v>613</v>
      </c>
      <c r="F85">
        <v>613</v>
      </c>
      <c r="G85">
        <v>67</v>
      </c>
      <c r="H85">
        <v>244.58986928104579</v>
      </c>
      <c r="I85">
        <v>244.58823529411771</v>
      </c>
      <c r="J85">
        <v>2200.590909090909</v>
      </c>
      <c r="K85">
        <v>20.408915335888562</v>
      </c>
      <c r="L85">
        <v>23.216910539839759</v>
      </c>
      <c r="M85">
        <v>2038.6295772275189</v>
      </c>
      <c r="N85">
        <v>178</v>
      </c>
      <c r="O85">
        <v>219</v>
      </c>
      <c r="P85">
        <v>201</v>
      </c>
      <c r="Q85">
        <v>498</v>
      </c>
      <c r="R85">
        <v>738</v>
      </c>
      <c r="S85">
        <v>7939</v>
      </c>
      <c r="T85">
        <v>0</v>
      </c>
      <c r="U85">
        <v>0</v>
      </c>
      <c r="V85">
        <v>42</v>
      </c>
    </row>
    <row r="86" spans="1:22" x14ac:dyDescent="0.2">
      <c r="A86" s="1">
        <v>85</v>
      </c>
      <c r="B86">
        <v>666</v>
      </c>
      <c r="D86">
        <v>1</v>
      </c>
      <c r="E86">
        <v>667</v>
      </c>
      <c r="G86">
        <v>2</v>
      </c>
      <c r="H86">
        <v>225.20270270270271</v>
      </c>
      <c r="J86">
        <v>43324</v>
      </c>
      <c r="K86">
        <v>22.174890464678828</v>
      </c>
      <c r="N86">
        <v>168</v>
      </c>
      <c r="P86">
        <v>43324</v>
      </c>
      <c r="Q86">
        <v>628</v>
      </c>
      <c r="S86">
        <v>43324</v>
      </c>
      <c r="T86">
        <v>0</v>
      </c>
      <c r="V86">
        <v>1</v>
      </c>
    </row>
    <row r="87" spans="1:22" x14ac:dyDescent="0.2">
      <c r="A87" s="1">
        <v>86</v>
      </c>
    </row>
    <row r="88" spans="1:22" x14ac:dyDescent="0.2">
      <c r="A88" s="1">
        <v>87</v>
      </c>
    </row>
    <row r="89" spans="1:22" x14ac:dyDescent="0.2">
      <c r="A89" s="1">
        <v>88</v>
      </c>
    </row>
    <row r="90" spans="1:22" x14ac:dyDescent="0.2">
      <c r="A90" s="1">
        <v>89</v>
      </c>
    </row>
    <row r="91" spans="1:22" x14ac:dyDescent="0.2">
      <c r="A91" s="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01_IBI_Availability</vt:lpstr>
      <vt:lpstr>Above1000</vt:lpstr>
      <vt:lpstr>ibis_infants_9_with_toys</vt:lpstr>
      <vt:lpstr>ibis_moms_9_with_toys</vt:lpstr>
      <vt:lpstr>ibis_infants_9_without_toys</vt:lpstr>
      <vt:lpstr>ibis_moms_9_without_toys</vt:lpstr>
      <vt:lpstr>ibis_infants_18_without_toys</vt:lpstr>
      <vt:lpstr>ibis_moms_18_without_toys</vt:lpstr>
      <vt:lpstr>ibis_infants_18_with_book</vt:lpstr>
      <vt:lpstr>ibis_moms_18_with_book</vt:lpstr>
      <vt:lpstr>ibis_infants_18_with_puzzle</vt:lpstr>
      <vt:lpstr>ibis_moms_18_with_puzzle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Besser</cp:lastModifiedBy>
  <dcterms:created xsi:type="dcterms:W3CDTF">2025-09-18T13:59:19Z</dcterms:created>
  <dcterms:modified xsi:type="dcterms:W3CDTF">2025-10-13T15:35:03Z</dcterms:modified>
</cp:coreProperties>
</file>