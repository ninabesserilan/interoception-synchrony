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nab36\python code\Files data\"/>
    </mc:Choice>
  </mc:AlternateContent>
  <xr:revisionPtr revIDLastSave="0" documentId="13_ncr:1_{863C79EF-B577-48D0-B7E5-A8F6EC8FF141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03_ibi_after_manual_coding 9 m" sheetId="2" r:id="rId1"/>
    <sheet name="03_ibi_after_manual_coding 18 m" sheetId="3" r:id="rId2"/>
    <sheet name="01_ibi_after_extractio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" i="5" l="1"/>
  <c r="C94" i="5"/>
  <c r="B95" i="5"/>
  <c r="B94" i="5"/>
  <c r="B96" i="5"/>
  <c r="C93" i="2"/>
  <c r="B93" i="2"/>
  <c r="B93" i="3"/>
  <c r="B100" i="5"/>
  <c r="B99" i="5"/>
  <c r="C100" i="5"/>
  <c r="C99" i="5"/>
  <c r="C98" i="5"/>
  <c r="B98" i="5"/>
  <c r="B96" i="3"/>
  <c r="C96" i="5"/>
  <c r="B98" i="2"/>
  <c r="C98" i="2"/>
  <c r="B98" i="3"/>
  <c r="C98" i="3"/>
  <c r="C97" i="3"/>
  <c r="B97" i="3"/>
  <c r="C96" i="3"/>
  <c r="C95" i="3"/>
  <c r="B95" i="3"/>
  <c r="C94" i="3"/>
  <c r="B94" i="3"/>
  <c r="B97" i="5"/>
  <c r="C93" i="5"/>
  <c r="B93" i="5"/>
  <c r="C97" i="5"/>
  <c r="C93" i="3"/>
  <c r="B97" i="2"/>
  <c r="C97" i="2"/>
  <c r="B96" i="2"/>
  <c r="C96" i="2"/>
  <c r="B95" i="2"/>
  <c r="C95" i="2"/>
  <c r="B94" i="2"/>
  <c r="C94" i="2"/>
</calcChain>
</file>

<file path=xl/sharedStrings.xml><?xml version="1.0" encoding="utf-8"?>
<sst xmlns="http://schemas.openxmlformats.org/spreadsheetml/2006/main" count="327" uniqueCount="150">
  <si>
    <t>dyad_id</t>
  </si>
  <si>
    <t>'hammer': ['ch_2'], 'neutral': ['ch_2']</t>
  </si>
  <si>
    <t>'hammer': ['ch_1'], 'neutral': ['ch_1']</t>
  </si>
  <si>
    <t>'hammer': ['ch_1'], 'chair': ['ch_1'], 'neutral': ['ch_1']</t>
  </si>
  <si>
    <t>'hammer': ['ch_1'], 'chair': ['ch_2'], 'neutral': ['ch_2']</t>
  </si>
  <si>
    <t>'hammer': ['ch_0'], 'neutral': ['ch_2']</t>
  </si>
  <si>
    <t>'hammer': ['ch_1'], 'chair': ['ch_1'], 'neutral': ['ch_2']</t>
  </si>
  <si>
    <t>'hammer': ['ch_0'], 'neutral': ['ch_1']</t>
  </si>
  <si>
    <t>'hammer': ['ch_2'], 'neutral': ['ch_1']</t>
  </si>
  <si>
    <t>'hammer': ['ch_0'], 'chair': ['ch_0'], 'neutral': ['ch_0']</t>
  </si>
  <si>
    <t>'hammer': ['ch_1'], 'chair': ['ch_1'], 'neutral': ['ch_0']</t>
  </si>
  <si>
    <t>'hammer': ['ch_2'], 'chair': ['ch_0'], 'neutral': ['ch_1']</t>
  </si>
  <si>
    <t>'hammer': ['ch_1'], 'chair': ['ch_2'], 'neutral': ['ch_1']</t>
  </si>
  <si>
    <t>'hammer': ['ch_1'], 'chair': ['ch_0'], 'neutral': ['ch_2']</t>
  </si>
  <si>
    <t>'hammer': ['ch_2'], 'chair': ['ch_2'], 'neutral': ['ch_2']</t>
  </si>
  <si>
    <t>'hammer': ['ch_0'], 'chair': ['ch_1'], 'neutral': ['ch_0']</t>
  </si>
  <si>
    <t>'hammer': ['ch_0'], 'neutral': ['ch_0']</t>
  </si>
  <si>
    <t>'hammer': ['ch_1'], 'neutral': ['ch_2']</t>
  </si>
  <si>
    <t>'hammer': ['ch_0'], 'chair': ['ch_2'], 'neutral': ['ch_0']</t>
  </si>
  <si>
    <t>'chair': ['ch_0'], 'neutral': ['ch_0']</t>
  </si>
  <si>
    <t>'chair': ['ch_1'], 'neutral': ['ch_2']</t>
  </si>
  <si>
    <t>'hammer': ['ch_1'], 'chair': ['ch_1']</t>
  </si>
  <si>
    <t>'neutral': ['ch_0']</t>
  </si>
  <si>
    <t>'hammer': ['ch_2'], 'chair': ['ch_0'], 'neutral': ['ch_2']</t>
  </si>
  <si>
    <t>'chair': ['ch_2']</t>
  </si>
  <si>
    <t>'hammer': ['ch_1'], 'chair': ['ch_0'], 'neutral': ['ch_1']</t>
  </si>
  <si>
    <t>'hammer': ['ch_2'], 'chair': ['ch_2'], 'neutral': ['ch_0']</t>
  </si>
  <si>
    <t>'hammer': ['ch_0'], 'chair': ['ch_1'], 'neutral': ['ch_1']</t>
  </si>
  <si>
    <t>'hammer': ['ch_0'], 'chair': ['ch_2'], 'neutral': ['ch_2']</t>
  </si>
  <si>
    <t>'hammer': ['ch_2'], 'chair': ['ch_0'], 'neutral': ['ch_0']</t>
  </si>
  <si>
    <t>'hammer': ['ch_2'], 'chair': ['ch_1'], 'neutral': ['ch_0']</t>
  </si>
  <si>
    <t>'hammer': ['ch_2'], 'chair': ['ch_1'], 'neutral': ['ch_2']</t>
  </si>
  <si>
    <t>'hammer': ['ch_0'], 'chair': ['ch_1'], 'neutral': ['ch_2']</t>
  </si>
  <si>
    <t>'chair': ['ch_0'], 'neutral': ['ch_1']</t>
  </si>
  <si>
    <t>'hammer': ['ch_0'], 'chair': ['ch_0'], 'neutral': ['ch_1']</t>
  </si>
  <si>
    <t>'hammer': ['ch_0'], 'chair': ['ch_0'], 'neutral': ['ch_2']</t>
  </si>
  <si>
    <t>'hammer': ['ch_0'], 'chair': ['ch_0']</t>
  </si>
  <si>
    <t>'hammer': ['ch_1'], 'chair': ['ch_0'], 'neutral': ['ch_0']</t>
  </si>
  <si>
    <t>'hammer': ['ch_0']</t>
  </si>
  <si>
    <t>'hammer': ['ch_2'], 'chair': ['ch_2'], 'neutral': ['ch_1']</t>
  </si>
  <si>
    <t>'hammer': ['ch_2'], 'chair': ['ch_0']</t>
  </si>
  <si>
    <t>'hammer': ['ch_0'], 'chair': ['ch_0'], 'not play': ['ch_0']</t>
  </si>
  <si>
    <t>'hammer': ['ch_1']</t>
  </si>
  <si>
    <t>'hammer': ['ch_1'], 'chair': ['ch_2']</t>
  </si>
  <si>
    <t>'hammer': ['ch_2'], 'chair': ['ch_2']</t>
  </si>
  <si>
    <t>'hammer': ['ch_0'], 'chair': ['ch_1']</t>
  </si>
  <si>
    <t>'hammer': ['ch_2']</t>
  </si>
  <si>
    <t>infant 9 month empathy</t>
  </si>
  <si>
    <t>mom 18 month empathy</t>
  </si>
  <si>
    <t>infant 18 month empathy</t>
  </si>
  <si>
    <t>Total Usable subjects</t>
  </si>
  <si>
    <t>Total usable subjects</t>
  </si>
  <si>
    <t>Usable subject - Hammer</t>
  </si>
  <si>
    <t>Usable subject - Chair</t>
  </si>
  <si>
    <t>Usable subject - Neutral</t>
  </si>
  <si>
    <t>Usabale subject - No play</t>
  </si>
  <si>
    <t>Usabale subject - No book</t>
  </si>
  <si>
    <t>'ibis': {'hammer': ['ch_0'], 'chair': ['ch_0'], 'neutral': ['ch_0']}, 'peaks': {'hammer': ['ch_0'], 'chair': ['ch_0'], 'neutral': ['ch_0']}</t>
  </si>
  <si>
    <t>'ibis': {'hammer': ['ch_0'], 'neutral': ['ch_0']}, 'peaks': {'hammer': ['ch_0'], 'neutral': ['ch_0']}</t>
  </si>
  <si>
    <t>'ibis': {'chair': ['ch_0'], 'neutral': ['ch_0']}, 'peaks': {'chair': ['ch_0'], 'neutral': ['ch_0']}</t>
  </si>
  <si>
    <t>'ibis': {'neutral': ['ch_0']}, 'peaks': {'neutral': ['ch_0']}</t>
  </si>
  <si>
    <t>'ibis': {'chair': ['ch_0']}, 'peaks': {'chair': ['ch_0']}</t>
  </si>
  <si>
    <t>'ibis': {'hammer': ['ch_0'], 'chair': ['ch_0'], 'not play': ['ch_0']}, 'peaks': {'hammer': ['ch_0'], 'chair': ['ch_0'], 'not play': ['ch_0']}</t>
  </si>
  <si>
    <t>'ibis': {'hammer': ['ch_0'], 'chair': ['ch_0'], 'not play': ['ch_0'], 'no book': ['ch_0']}, 'peaks': {'hammer': ['ch_0'], 'chair': ['ch_0'], 'not play': ['ch_0'], 'no book': ['ch_0']}</t>
  </si>
  <si>
    <t>'ibis': {'hammer': ['ch_0'], 'chair': ['ch_0']}, 'peaks': {'hammer': ['ch_0'], 'chair': ['ch_0']}</t>
  </si>
  <si>
    <t>'ibis': {'hammer': ['ch_0']}, 'peaks': {'hammer': ['ch_0']}</t>
  </si>
  <si>
    <t>mom 9_emp month empathy</t>
  </si>
  <si>
    <t>infant 9_emp month empathy</t>
  </si>
  <si>
    <t>'hammer': ['ch_0'], 'chair': ['ch_2']</t>
  </si>
  <si>
    <t>'hammer': ['ch_2'], 'chair': ['ch_1']</t>
  </si>
  <si>
    <t>'chair': ['ch_0']</t>
  </si>
  <si>
    <t>'hammer': ['ch_1'], 'chair': ['ch_1'], 'not play': ['ch_1'], 'no book': ['ch_1']</t>
  </si>
  <si>
    <t>'hammer': ['ch_2'], 'chair': ['ch_1'], 'neutral': ['ch_1']</t>
  </si>
  <si>
    <t>'hammer': {'distress': ['ch_2', 'ch_1', 'ch_0'], 'freeplay': ['ch_1', 'ch_0', 'ch_2'], 'reunion': ['ch_0', 'ch_2', 'ch_1']}, 'chair': {'distress': ['ch_1', 'ch_2', 'ch_0'], 'freeplay': ['ch_2', 'ch_1', 'ch_0'], 'reunion': ['ch_1', 'ch_2', 'ch_0']}</t>
  </si>
  <si>
    <t>'hammer': {'distress': ['ch_2', 'ch_1', 'ch_0'], 'freeplay': ['ch_1', 'ch_2', 'ch_0'], 'reunion': ['ch_1', 'ch_2', 'ch_0']}, 'chair': {'distress': ['ch_1', 'ch_2', 'ch_0'], 'freeplay': ['ch_0', 'ch_2', 'ch_1'], 'reunion': ['ch_0', 'ch_2', 'ch_1']}</t>
  </si>
  <si>
    <t>'hammer': {'distress': ['ch_1', 'ch_2', 'ch_0'], 'freeplay': ['ch_1', 'ch_0', 'ch_2'], 'reunion': ['ch_2', 'ch_0', 'ch_1']}, 'chair': {'distress': ['ch_0', 'ch_2', 'ch_1'], 'freeplay': ['ch_2', 'ch_1', 'ch_0'], 'reunion': ['ch_1', 'ch_0', 'ch_2']}</t>
  </si>
  <si>
    <t>'hammer': {'distress': ['ch_2', 'ch_0', 'ch_1'], 'freeplay': ['ch_1', 'ch_0', 'ch_2'], 'reunion': ['ch_1', 'ch_0', 'ch_2']}, 'chair': {'distress': ['ch_0', 'ch_1', 'ch_2'], 'freeplay': ['ch_2', 'ch_0', 'ch_1'], 'reunion': ['ch_0', 'ch_2', 'ch_1']}</t>
  </si>
  <si>
    <t>'hammer': {'distress': ['ch_2', 'ch_0', 'ch_1'], 'freeplay': ['ch_0', 'ch_2', 'ch_1'], 'reunion': ['ch_1', 'ch_2', 'ch_0']}, 'chair': {'distress': ['ch_1', 'ch_0', 'ch_2'], 'freeplay': ['ch_0', 'ch_1', 'ch_2'], 'reunion': ['ch_0', 'ch_2', 'ch_1']}</t>
  </si>
  <si>
    <t>'hammer': {'distress': ['ch_0', 'ch_2', 'ch_1'], 'freeplay': ['ch_1', 'ch_2', 'ch_0'], 'reunion': ['ch_2', 'ch_1', 'ch_0']}, 'chair': {'distress': ['ch_2', 'ch_1', 'ch_0'], 'freeplay': ['ch_0', 'ch_1', 'ch_2'], 'reunion': ['ch_2', 'ch_0', 'ch_1']}</t>
  </si>
  <si>
    <t>'chair': {'distress': ['ch_1', 'ch_0', 'ch_2'], 'freeplay': ['ch_1', 'ch_2', 'ch_0'], 'reunion': ['ch_2', 'ch_1', 'ch_0']}</t>
  </si>
  <si>
    <t>'chair': {'distress': ['ch_1', 'ch_0', 'ch_2'], 'freeplay': ['ch_2', 'ch_0', 'ch_1'], 'reunion': ['ch_0', 'ch_2', 'ch_1']}</t>
  </si>
  <si>
    <t>'hammer': {'distress': ['ch_2', 'ch_0', 'ch_1'], 'freeplay': ['ch_1', 'ch_2', 'ch_0'], 'reunion': ['ch_2', 'ch_0', 'ch_1']}, 'chair': {'distress': ['ch_2', 'ch_1', 'ch_0'], 'freeplay': ['ch_2', 'ch_0', 'ch_1'], 'reunion': ['ch_0', 'ch_1', 'ch_2']}</t>
  </si>
  <si>
    <t>'hammer': {'distress': ['ch_1', 'ch_2', 'ch_0'], 'freeplay': ['ch_1', 'ch_2', 'ch_0'], 'reunion': ['ch_1', 'ch_0', 'ch_2']}, 'chair': {'distress': ['ch_1', 'ch_0', 'ch_2'], 'freeplay': ['ch_1', 'ch_0', 'ch_2'], 'reunion': ['ch_2', 'ch_0', 'ch_1']}</t>
  </si>
  <si>
    <t>'hammer': {'distress': ['ch_0', 'ch_1', 'ch_2'], 'freeplay': ['ch_0', 'ch_1', 'ch_2'], 'reunion': ['ch_2', 'ch_0', 'ch_1']}, 'chair': {'distress': ['ch_2', 'ch_1', 'ch_0'], 'freeplay': ['ch_2', 'ch_1', 'ch_0'], 'reunion': ['ch_1', 'ch_0', 'ch_2']}</t>
  </si>
  <si>
    <t>'hammer': {'distress': ['ch_0', 'ch_1', 'ch_2'], 'freeplay': ['ch_2', 'ch_1', 'ch_0'], 'reunion': ['ch_2', 'ch_1', 'ch_0']}, 'chair': {'distress': ['ch_2', 'ch_0', 'ch_1'], 'freeplay': ['ch_2', 'ch_0', 'ch_1'], 'reunion': ['ch_0', 'ch_1', 'ch_2']}</t>
  </si>
  <si>
    <t>'hammer': {'distress': ['ch_0', 'ch_2', 'ch_1'], 'freeplay': ['ch_0', 'ch_2', 'ch_1'], 'reunion': ['ch_0', 'ch_2', 'ch_1']}, 'chair': {'distress': ['ch_1', 'ch_2', 'ch_0'], 'freeplay': ['ch_1', 'ch_2', 'ch_0'], 'reunion': ['ch_2', 'ch_0', 'ch_1']}</t>
  </si>
  <si>
    <t>'hammer': {'distress': ['ch_2', 'ch_1', 'ch_0'], 'freeplay': ['ch_0', 'ch_1', 'ch_2'], 'reunion': ['ch_0', 'ch_2', 'ch_1']}, 'chair': {'distress': ['ch_1', 'ch_2', 'ch_0'], 'freeplay': ['ch_0', 'ch_1', 'ch_2'], 'reunion': ['ch_2', 'ch_1', 'ch_0']}</t>
  </si>
  <si>
    <t>'hammer': {'distress': ['ch_2', 'ch_1', 'ch_0'], 'freeplay': ['ch_0', 'ch_2', 'ch_1'], 'reunion': ['ch_0', 'ch_2', 'ch_1']}, 'chair': {'distress': ['ch_2', 'ch_1', 'ch_0'], 'freeplay': ['ch_2', 'ch_0', 'ch_1'], 'reunion': ['ch_2', 'ch_0', 'ch_1']}</t>
  </si>
  <si>
    <t>'hammer': {'distress': ['ch_0', 'ch_1', 'ch_2'], 'freeplay': ['ch_2', 'ch_0', 'ch_1'], 'reunion': ['ch_2', 'ch_1', 'ch_0']}, 'chair': {'distress': ['ch_1', 'ch_0', 'ch_2'], 'freeplay': ['ch_2', 'ch_1', 'ch_0'], 'reunion': ['ch_0', 'ch_2', 'ch_1']}</t>
  </si>
  <si>
    <t>'chair': {'distress': ['ch_2', 'ch_1', 'ch_0'], 'freeplay': ['ch_0', 'ch_1', 'ch_2'], 'reunion': ['ch_2', 'ch_0', 'ch_1']}</t>
  </si>
  <si>
    <t>'hammer': {'distress': ['ch_1', 'ch_2', 'ch_0'], 'freeplay': ['ch_1', 'ch_0', 'ch_2'], 'reunion': ['ch_0', 'ch_1', 'ch_2']}, 'chair': {'distress': ['ch_1', 'ch_2', 'ch_0'], 'freeplay': ['ch_0', 'ch_1', 'ch_2'], 'reunion': ['ch_1', 'ch_0', 'ch_2']}</t>
  </si>
  <si>
    <t>'hammer': {'distress': ['ch_1', 'ch_0', 'ch_2'], 'freeplay': ['ch_0', 'ch_2', 'ch_1'], 'reunion': ['ch_2', 'ch_0', 'ch_1']}, 'chair': {'distress': ['ch_2', 'ch_0', 'ch_1'], 'freeplay': ['ch_2', 'ch_1', 'ch_0'], 'reunion': ['ch_0', 'ch_1', 'ch_2']}</t>
  </si>
  <si>
    <t>'hammer': {'distress': ['ch_1', 'ch_0', 'ch_2'], 'freeplay': ['ch_2', 'ch_0', 'ch_1'], 'reunion': ['ch_0', 'ch_2', 'ch_1']}, 'chair': {'distress': ['ch_1', 'ch_2', 'ch_0'], 'freeplay': ['ch_0', 'ch_1', 'ch_2'], 'reunion': ['ch_2', 'ch_0', 'ch_1']}</t>
  </si>
  <si>
    <t>'hammer': {'distress': ['ch_1', 'ch_2', 'ch_0'], 'freeplay': ['ch_2', 'ch_0', 'ch_1'], 'reunion': ['ch_2', 'ch_0', 'ch_1']}, 'chair': {'distress': ['ch_0', 'ch_2', 'ch_1'], 'freeplay': ['ch_1', 'ch_0', 'ch_2'], 'reunion': ['ch_0', 'ch_2', 'ch_1']}</t>
  </si>
  <si>
    <t>'hammer': {'distress': ['ch_0', 'ch_2', 'ch_1'], 'freeplay': ['ch_1', 'ch_2', 'ch_0'], 'reunion': ['ch_2', 'ch_1', 'ch_0']}, 'chair': {'distress': ['ch_0', 'ch_1', 'ch_2'], 'freeplay': ['ch_1', 'ch_2', 'ch_0'], 'reunion': ['ch_2', 'ch_1', 'ch_0']}</t>
  </si>
  <si>
    <t>'hammer': {'distress': ['ch_0', 'ch_2', 'ch_1'], 'freeplay': ['ch_1', 'ch_2', 'ch_0'], 'reunion': ['ch_0', 'ch_1', 'ch_2']}, 'chair': {'distress': ['ch_2', 'ch_1', 'ch_0'], 'freeplay': ['ch_2', 'ch_0', 'ch_1'], 'reunion': ['ch_0', 'ch_1', 'ch_2']}</t>
  </si>
  <si>
    <t>'hammer': {'distress': ['ch_0', 'ch_2'], 'freeplay': ['ch_0'], 'reunion': ['ch_2', 'ch_0']}, 'chair': {'distress': ['ch_0'], 'freeplay': ['ch_2', 'ch_0'], 'reunion': ['ch_0', 'ch_2']}</t>
  </si>
  <si>
    <t>'hammer': {'distress': ['ch_1', 'ch_0', 'ch_2'], 'freeplay': ['ch_1', 'ch_0', 'ch_2'], 'reunion': ['ch_0']}, 'chair': {'distress': ['ch_1', 'ch_2', 'ch_0'], 'freeplay': ['ch_2', 'ch_0', 'ch_1'], 'reunion': ['ch_0', 'ch_2', 'ch_1']}</t>
  </si>
  <si>
    <t>'hammer': {'distress': ['ch_2', 'ch_0'], 'freeplay': ['ch_2', 'ch_0'], 'reunion': ['ch_0', 'ch_2']}, 'chair': {'distress': ['ch_2', 'ch_0'], 'freeplay': ['ch_0', 'ch_2'], 'reunion': ['ch_0', 'ch_2']}</t>
  </si>
  <si>
    <t>'hammer': {'distress': ['ch_2', 'ch_1', 'ch_0'], 'freeplay': ['ch_0', 'ch_2', 'ch_1'], 'reunion': ['ch_0', 'ch_1', 'ch_2']}, 'chair': {'distress': ['ch_2', 'ch_1', 'ch_0'], 'freeplay': ['ch_2', 'ch_1', 'ch_0'], 'reunion': ['ch_2', 'ch_1', 'ch_0']}</t>
  </si>
  <si>
    <t>'hammer': {'distress': ['ch_0'], 'freeplay': ['ch_2', 'ch_0'], 'reunion': ['ch_2', 'ch_0']}, 'chair': {'distress': ['ch_0', 'ch_2'], 'freeplay': ['ch_0', 'ch_2'], 'reunion': ['ch_0', 'ch_2']}</t>
  </si>
  <si>
    <t>'hammer': {'distress': ['ch_0', 'ch_1', 'ch_2'], 'freeplay': ['ch_1', 'ch_0', 'ch_2'], 'reunion': ['ch_0', 'ch_2', 'ch_1']}, 'chair': {'distress': ['ch_0', 'ch_1', 'ch_2'], 'freeplay': ['ch_1', 'ch_0', 'ch_2'], 'reunion': ['ch_2', 'ch_0', 'ch_1']}</t>
  </si>
  <si>
    <t>'hammer': {'distress': ['ch_0', 'ch_2', 'ch_1'], 'freeplay': ['ch_1', 'ch_2', 'ch_0'], 'reunion': ['ch_1', 'ch_0', 'ch_2']}, 'chair': {'distress': ['ch_2', 'ch_1', 'ch_0'], 'freeplay': ['ch_1', 'ch_0', 'ch_2'], 'reunion': ['ch_0', 'ch_2', 'ch_1']}</t>
  </si>
  <si>
    <t>'hammer': {'distress': ['ch_0', 'ch_2', 'ch_1'], 'freeplay': ['ch_0', 'ch_1', 'ch_2'], 'reunion': ['ch_0', 'ch_2', 'ch_1']}, 'chair': {'distress': ['ch_2', 'ch_1', 'ch_0'], 'freeplay': ['ch_0', 'ch_1', 'ch_2'], 'reunion': ['ch_2', 'ch_1', 'ch_0']}</t>
  </si>
  <si>
    <t>'hammer': {'distress': ['ch_2', 'ch_0', 'ch_1'], 'freeplay': ['ch_2', 'ch_1', 'ch_0'], 'reunion': ['ch_2', 'ch_1', 'ch_0']}, 'chair': {'distress': ['ch_0', 'ch_1', 'ch_2'], 'freeplay': ['ch_2', 'ch_1', 'ch_0'], 'reunion': ['ch_2', 'ch_0', 'ch_1']}</t>
  </si>
  <si>
    <t>'hammer': {'distress': ['ch_2', 'ch_1', 'ch_0'], 'freeplay': ['ch_0', 'ch_1', 'ch_2'], 'reunion': ['ch_1', 'ch_2', 'ch_0']}, 'chair': {'distress': ['ch_1', 'ch_0', 'ch_2'], 'freeplay': ['ch_2', 'ch_1', 'ch_0'], 'reunion': ['ch_0', 'ch_2', 'ch_1']}</t>
  </si>
  <si>
    <t>'hammer': {'distress': ['ch_0', 'ch_2'], 'freeplay': ['ch_0', 'ch_2'], 'reunion': ['ch_2', 'ch_0']}, 'chair': {'distress': ['ch_2', 'ch_0'], 'freeplay': ['ch_0', 'ch_2'], 'reunion': ['ch_2', 'ch_0']}</t>
  </si>
  <si>
    <t>'hammer': {'distress': ['ch_2', 'ch_0', 'ch_1'], 'freeplay': ['ch_0', 'ch_1', 'ch_2'], 'reunion': ['ch_0', 'ch_1', 'ch_2']}, 'chair': {'distress': ['ch_0', 'ch_1', 'ch_2'], 'freeplay': ['ch_2', 'ch_0', 'ch_1'], 'reunion': ['ch_0', 'ch_2', 'ch_1']}</t>
  </si>
  <si>
    <t>'hammer': {'distress': ['ch_0', 'ch_2', 'ch_1'], 'freeplay': ['ch_1', 'ch_2', 'ch_0'], 'reunion': ['ch_1', 'ch_2', 'ch_0']}, 'chair': {'distress': ['ch_0', 'ch_1', 'ch_2'], 'freeplay': ['ch_1', 'ch_2', 'ch_0'], 'reunion': ['ch_0', 'ch_1', 'ch_2']}</t>
  </si>
  <si>
    <t>'chair': {'distress': ['ch_1', 'ch_2', 'ch_0'], 'freeplay': ['ch_1', 'ch_2', 'ch_0'], 'reunion': ['ch_2', 'ch_0', 'ch_1']}</t>
  </si>
  <si>
    <t>'chair': {'distress': ['ch_1', 'ch_2', 'ch_0'], 'freeplay': ['ch_0', 'ch_1', 'ch_2'], 'reunion': ['ch_2', 'ch_1', 'ch_0']}</t>
  </si>
  <si>
    <t>'hammer': {'distress': ['ch_1', 'ch_2', 'ch_0'], 'freeplay': ['ch_1', 'ch_0', 'ch_2'], 'reunion': ['ch_0', 'ch_1', 'ch_2']}</t>
  </si>
  <si>
    <t>'hammer': {'distress': ['ch_0', 'ch_2', 'ch_1'], 'freeplay': ['ch_0', 'ch_2', 'ch_1'], 'reunion': ['ch_0', 'ch_2', 'ch_1']}</t>
  </si>
  <si>
    <t>'hammer': {'distress': ['ch_1', 'ch_0', 'ch_2'], 'freeplay': ['ch_2', 'ch_0', 'ch_1'], 'reunion': ['ch_0', 'ch_2', 'ch_1']}</t>
  </si>
  <si>
    <t>'hammer': {'distress': ['ch_2', 'ch_0', 'ch_1'], 'freeplay': ['ch_0', 'ch_1', 'ch_2'], 'reunion': ['ch_1', 'ch_0', 'ch_2']}</t>
  </si>
  <si>
    <t>'hammer': {'distress': ['ch_0', 'ch_2', 'ch_1'], 'freeplay': ['ch_2', 'ch_1', 'ch_0'], 'reunion': ['ch_1', 'ch_2', 'ch_0']}, 'chair': {'distress': ['ch_2', 'ch_1', 'ch_0'], 'freeplay': ['ch_0', 'ch_2', 'ch_1'], 'reunion': ['ch_0', 'ch_1', 'ch_2']}</t>
  </si>
  <si>
    <t>'hammer': {'distress': ['ch_2', 'ch_0', 'ch_1'], 'freeplay': ['ch_2', 'ch_0', 'ch_1'], 'reunion': ['ch_0', 'ch_1', 'ch_2']}, 'chair': {'distress': ['ch_1', 'ch_0', 'ch_2'], 'freeplay': ['ch_2', 'ch_0', 'ch_1'], 'reunion': ['ch_1', 'ch_0', 'ch_2']}</t>
  </si>
  <si>
    <t>'hammer': {'distress': ['ch_0', 'ch_2', 'ch_1'], 'freeplay': ['ch_0', 'ch_2', 'ch_1'], 'reunion': ['ch_1', 'ch_0', 'ch_2']}, 'chair': {'distress': ['ch_2', 'ch_0', 'ch_1'], 'freeplay': ['ch_2', 'ch_0', 'ch_1'], 'reunion': ['ch_2', 'ch_1', 'ch_0']}</t>
  </si>
  <si>
    <t>'hammer': {'distress': ['ch_0', 'ch_1', 'ch_2'], 'freeplay': ['ch_0', 'ch_1', 'ch_2'], 'reunion': ['ch_2', 'ch_1', 'ch_0']}, 'chair': {'distress': ['ch_2', 'ch_1', 'ch_0'], 'freeplay': ['ch_0', 'ch_2', 'ch_1'], 'reunion': ['ch_0', 'ch_1', 'ch_2']}</t>
  </si>
  <si>
    <t>'hammer': {'distress': ['ch_1', 'ch_2', 'ch_0'], 'freeplay': ['ch_1', 'ch_0', 'ch_2'], 'reunion': ['ch_0', 'ch_2', 'ch_1']}</t>
  </si>
  <si>
    <t>'hammer': {'distress': ['ch_2', 'ch_0', 'ch_1'], 'freeplay': ['ch_0', 'ch_1', 'ch_2'], 'reunion': ['ch_2', 'ch_0', 'ch_1']}, 'chair': {'distress': ['ch_0', 'ch_2', 'ch_1'], 'freeplay': ['ch_2', 'ch_0', 'ch_1'], 'reunion': ['ch_2', 'ch_0', 'ch_1']}</t>
  </si>
  <si>
    <t>'hammer': {'distress': ['ch_2', 'ch_0', 'ch_1'], 'freeplay': ['ch_1', 'ch_2', 'ch_0'], 'reunion': ['ch_0', 'ch_1', 'ch_2']}, 'chair': {'distress': ['ch_0', 'ch_2', 'ch_1'], 'freeplay': ['ch_1', 'ch_2', 'ch_0'], 'reunion': ['ch_1', 'ch_0', 'ch_2']}</t>
  </si>
  <si>
    <t>'chair': {'distress': ['ch_1', 'ch_0', 'ch_2'], 'freeplay': ['ch_2', 'ch_0', 'ch_1'], 'reunion': ['ch_2', 'ch_0', 'ch_1']}</t>
  </si>
  <si>
    <t>'chair': {'distress': ['ch_1', 'ch_2', 'ch_0'], 'freeplay': ['ch_0', 'ch_2', 'ch_1'], 'reunion': ['ch_0', 'ch_1', 'ch_2']}</t>
  </si>
  <si>
    <t>'hammer': {'distress': ['ch_1', 'ch_2', 'ch_0'], 'freeplay': ['ch_1', 'ch_0', 'ch_2'], 'reunion': ['ch_1', 'ch_0', 'ch_2']}, 'chair': {'distress': ['ch_1', 'ch_2', 'ch_0'], 'freeplay': ['ch_2', 'ch_1', 'ch_0'], 'reunion': ['ch_2', 'ch_0', 'ch_1']}</t>
  </si>
  <si>
    <t>'hammer': {'distress': ['ch_2', 'ch_1', 'ch_0'], 'freeplay': ['ch_1', 'ch_0', 'ch_2'], 'reunion': ['ch_1', 'ch_0', 'ch_2']}, 'chair': {'distress': ['ch_2', 'ch_1', 'ch_0'], 'freeplay': ['ch_1', 'ch_2', 'ch_0'], 'reunion': ['ch_2', 'ch_1', 'ch_0']}</t>
  </si>
  <si>
    <t>'hammer': {'distress': ['ch_0', 'ch_2', 'ch_1'], 'freeplay': ['ch_1', 'ch_0', 'ch_2'], 'reunion': ['ch_2', 'ch_0', 'ch_1']}</t>
  </si>
  <si>
    <t>'hammer': {'distress': ['ch_1', 'ch_0'], 'freeplay': ['ch_0', 'ch_1'], 'reunion': ['ch_0', 'ch_1']}</t>
  </si>
  <si>
    <t>'hammer': {'distress': ['ch_1', 'ch_2', 'ch_0'], 'freeplay': ['ch_1', 'ch_2', 'ch_0'], 'reunion': ['ch_0', 'ch_2', 'ch_1']}, 'chair': {'distress': ['ch_0', 'ch_2', 'ch_1'], 'freeplay': ['ch_2', 'ch_1', 'ch_0'], 'reunion': ['ch_1', 'ch_2', 'ch_0']}</t>
  </si>
  <si>
    <t>'hammer': {'distress': ['ch_0', 'ch_1', 'ch_2'], 'freeplay': ['ch_0', 'ch_2', 'ch_1'], 'reunion': ['ch_0', 'ch_2', 'ch_1']}, 'chair': {'distress': ['ch_2', 'ch_0', 'ch_1'], 'freeplay': ['ch_1', 'ch_2', 'ch_0'], 'reunion': ['ch_2', 'ch_1', 'ch_0']}</t>
  </si>
  <si>
    <t>'hammer': {'distress': ['ch_2', 'ch_1', 'ch_0'], 'freeplay': ['ch_0', 'ch_2', 'ch_1'], 'reunion': ['ch_0', 'ch_1', 'ch_2']}, 'chair': {'distress': ['ch_1', 'ch_2', 'ch_0'], 'freeplay': ['ch_1', 'ch_0', 'ch_2'], 'reunion': ['ch_2', 'ch_1', 'ch_0']}</t>
  </si>
  <si>
    <t>'hammer': {'distress': ['ch_1', 'ch_2', 'ch_0'], 'freeplay': ['ch_0', 'ch_2', 'ch_1'], 'reunion': ['ch_1', 'ch_0', 'ch_2']}, 'chair': {'distress': ['ch_1', 'ch_0', 'ch_2'], 'freeplay': ['ch_2', 'ch_0', 'ch_1'], 'reunion': ['ch_2', 'ch_1', 'ch_0']}</t>
  </si>
  <si>
    <t>'hammer': {'distress': ['ch_0', 'ch_1', 'ch_2'], 'freeplay': ['ch_0', 'ch_1', 'ch_2'], 'reunion': ['ch_1', 'ch_2', 'ch_0']}, 'chair': {'distress': ['ch_1', 'ch_0', 'ch_2'], 'freeplay': ['ch_1', 'ch_0', 'ch_2'], 'reunion': ['ch_2', 'ch_0', 'ch_1']}</t>
  </si>
  <si>
    <t>'hammer': {'distress': ['ch_0', 'ch_2', 'ch_1'], 'freeplay': ['ch_1', 'ch_0', 'ch_2'], 'reunion': ['ch_1', 'ch_2', 'ch_0']}, 'chair': {'distress': ['ch_1', 'ch_0', 'ch_2'], 'freeplay': ['ch_0', 'ch_1', 'ch_2'], 'reunion': ['ch_0', 'ch_2', 'ch_1']}</t>
  </si>
  <si>
    <t>'hammer': {'distress': ['ch_0', 'ch_1', 'ch_2'], 'freeplay': ['ch_2', 'ch_1', 'ch_0'], 'reunion': ['ch_2', 'ch_0', 'ch_1']}, 'chair': {'distress': ['ch_0', 'ch_1', 'ch_2'], 'freeplay': ['ch_0', 'ch_2', 'ch_1'], 'reunion': ['ch_2', 'ch_0', 'ch_1']}</t>
  </si>
  <si>
    <t>'hammer': {'distress': ['ch_2', 'ch_1', 'ch_0'], 'freeplay': ['ch_1', 'ch_2', 'ch_0'], 'reunion': ['ch_1', 'ch_0', 'ch_2']}, 'chair': {'distress': ['ch_1', 'ch_0', 'ch_2'], 'freeplay': ['ch_2', 'ch_0', 'ch_1'], 'reunion': ['ch_0', 'ch_2', 'ch_1']}</t>
  </si>
  <si>
    <t>'hammer': {'distress': ['ch_1', 'ch_2', 'ch_0'], 'freeplay': ['ch_2', 'ch_1', 'ch_0'], 'reunion': ['ch_2', 'ch_0', 'ch_1']}, 'chair': {'distress': ['ch_0', 'ch_2', 'ch_1'], 'freeplay': ['ch_1', 'ch_2', 'ch_0'], 'reunion': ['ch_2', 'ch_0', 'ch_1']}</t>
  </si>
  <si>
    <t>'hammer': {'distress': ['ch_2', 'ch_0', 'ch_1'], 'freeplay': ['ch_1', 'ch_2', 'ch_0'], 'reunion': ['ch_0', 'ch_1']}, 'chair': {'distress': ['ch_0', 'ch_1', 'ch_2'], 'freeplay': ['ch_1', 'ch_0', 'ch_2'], 'reunion': ['ch_1', 'ch_2', 'ch_0']}</t>
  </si>
  <si>
    <t>'hammer': {'distress': ['ch_1', 'ch_0', 'ch_2'], 'freeplay': ['ch_0', 'ch_1', 'ch_2'], 'reunion': ['ch_1', 'ch_2', 'ch_0']}, 'chair': {'distress': ['ch_2', 'ch_0', 'ch_1'], 'freeplay': ['ch_0', 'ch_2', 'ch_1'], 'reunion': ['ch_0', 'ch_1', 'ch_2']}</t>
  </si>
  <si>
    <t>'hammer': {'distress': ['ch_2', 'ch_0', 'ch_1'], 'freeplay': ['ch_0', 'ch_2', 'ch_1'], 'reunion': ['ch_2', 'ch_1', 'ch_0']}, 'chair': {'distress': ['ch_2', 'ch_1', 'ch_0'], 'freeplay': ['ch_2', 'ch_1', 'ch_0'], 'reunion': ['ch_1', 'ch_2', 'ch_0']}</t>
  </si>
  <si>
    <t>'hammer': {'distress': ['ch_2', 'ch_0', 'ch_1'], 'freeplay': ['ch_1', 'ch_2', 'ch_0'], 'reunion': ['ch_2', 'ch_0', 'ch_1']}, 'chair': {'distress': ['ch_0', 'ch_2', 'ch_1'], 'freeplay': ['ch_0', 'ch_1', 'ch_2'], 'reunion': ['ch_0', 'ch_2', 'ch_1']}</t>
  </si>
  <si>
    <t>'hammer': {'distress': ['ch_0'], 'freeplay': ['ch_2', 'ch_0'], 'reunion': ['ch_2', 'ch_0']}, 'chair': {'distress': ['ch_0'], 'freeplay': ['ch_0', 'ch_2'], 'reunion': ['ch_2', 'ch_0']}</t>
  </si>
  <si>
    <t>'chair': {'distress': ['ch_1', 'ch_2', 'ch_0'], 'freeplay': ['ch_1', 'ch_0', 'ch_2'], 'reunion': ['ch_2', 'ch_1', 'ch_0']}</t>
  </si>
  <si>
    <t>Q:\hoehl\projects\mibo_p\Physiological_Synchrony\data\03_ibi_after_manual_coding_should_be_json\dashboardOutputData_emp_9mo - jason</t>
  </si>
  <si>
    <t>Files location</t>
  </si>
  <si>
    <t>Q:\hoehl\projects\mibo_p\Physiological_Synchrony\data\03_ibi_after_manual_coding_should_be_json\dashboardInputData_emp18 - jason</t>
  </si>
  <si>
    <t>Q:\hoehl\projects\mibo_p\Physiological_Synchrony\data\01_ibi_after_extraction_from_xdf\empathy_9mo - csv</t>
  </si>
  <si>
    <t>Total Usable subjects - IBIS</t>
  </si>
  <si>
    <t>Total Usable subjects - Peaks</t>
  </si>
  <si>
    <t xml:space="preserve"> mom 9 month empathy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</si>
</sst>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4" borderId="0" xfId="0" applyFont="1" applyFill="1"/>
    <xf numFmtId="0" fontId="0" fillId="4" borderId="0" xfId="0" applyFill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EE6FE"/>
      <color rgb="FFF8A2A2"/>
      <color rgb="FFFFC1E0"/>
      <color rgb="FFEFD2D1"/>
      <color rgb="FFE6E6E6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B756-C1C0-4630-900A-BE8C8381E7BA}">
  <sheetPr codeName="Sheet2"/>
  <dimension ref="A1:C100"/>
  <sheetViews>
    <sheetView topLeftCell="A13" workbookViewId="0">
      <selection activeCell="B13" sqref="B13"/>
    </sheetView>
  </sheetViews>
  <sheetFormatPr defaultRowHeight="15" x14ac:dyDescent="0.25"/>
  <cols>
    <col min="1" max="1" width="24.28515625" customWidth="1"/>
    <col min="2" max="2" width="66" customWidth="1"/>
    <col min="3" max="3" width="73.42578125" customWidth="1"/>
  </cols>
  <sheetData>
    <row r="1" spans="1:3" x14ac:dyDescent="0.25">
      <c r="A1" s="1" t="s">
        <v>0</v>
      </c>
      <c r="B1" s="6" t="s">
        <v>149</v>
      </c>
      <c r="C1" s="6" t="s">
        <v>47</v>
      </c>
    </row>
    <row r="2" spans="1:3" x14ac:dyDescent="0.25">
      <c r="A2" s="1">
        <v>1</v>
      </c>
      <c r="B2" t="s">
        <v>36</v>
      </c>
      <c r="C2" t="s">
        <v>44</v>
      </c>
    </row>
    <row r="3" spans="1:3" x14ac:dyDescent="0.25">
      <c r="A3" s="1">
        <v>2</v>
      </c>
      <c r="B3" t="s">
        <v>21</v>
      </c>
      <c r="C3" t="s">
        <v>46</v>
      </c>
    </row>
    <row r="4" spans="1:3" x14ac:dyDescent="0.25">
      <c r="A4" s="1">
        <v>3</v>
      </c>
      <c r="B4" t="s">
        <v>24</v>
      </c>
      <c r="C4" t="s">
        <v>24</v>
      </c>
    </row>
    <row r="5" spans="1:3" x14ac:dyDescent="0.25">
      <c r="A5" s="1">
        <v>4</v>
      </c>
      <c r="B5" t="s">
        <v>44</v>
      </c>
      <c r="C5" t="s">
        <v>44</v>
      </c>
    </row>
    <row r="6" spans="1:3" x14ac:dyDescent="0.25">
      <c r="A6" s="1">
        <v>5</v>
      </c>
      <c r="B6" t="s">
        <v>42</v>
      </c>
      <c r="C6" t="s">
        <v>46</v>
      </c>
    </row>
    <row r="7" spans="1:3" x14ac:dyDescent="0.25">
      <c r="A7" s="1">
        <v>6</v>
      </c>
      <c r="B7" t="s">
        <v>45</v>
      </c>
      <c r="C7" t="s">
        <v>44</v>
      </c>
    </row>
    <row r="8" spans="1:3" x14ac:dyDescent="0.25">
      <c r="A8" s="1">
        <v>7</v>
      </c>
    </row>
    <row r="9" spans="1:3" x14ac:dyDescent="0.25">
      <c r="A9" s="1">
        <v>8</v>
      </c>
      <c r="B9" t="s">
        <v>68</v>
      </c>
      <c r="C9" t="s">
        <v>21</v>
      </c>
    </row>
    <row r="10" spans="1:3" x14ac:dyDescent="0.25">
      <c r="A10" s="1">
        <v>9</v>
      </c>
      <c r="B10" t="s">
        <v>21</v>
      </c>
      <c r="C10" t="s">
        <v>69</v>
      </c>
    </row>
    <row r="11" spans="1:3" x14ac:dyDescent="0.25">
      <c r="A11" s="1">
        <v>10</v>
      </c>
      <c r="B11" t="s">
        <v>36</v>
      </c>
      <c r="C11" t="s">
        <v>43</v>
      </c>
    </row>
    <row r="12" spans="1:3" x14ac:dyDescent="0.25">
      <c r="A12" s="1">
        <v>11</v>
      </c>
      <c r="B12" t="s">
        <v>21</v>
      </c>
      <c r="C12" t="s">
        <v>21</v>
      </c>
    </row>
    <row r="13" spans="1:3" x14ac:dyDescent="0.25">
      <c r="A13" s="1">
        <v>12</v>
      </c>
      <c r="B13" t="s">
        <v>69</v>
      </c>
      <c r="C13" t="s">
        <v>21</v>
      </c>
    </row>
    <row r="14" spans="1:3" x14ac:dyDescent="0.25">
      <c r="A14" s="1">
        <v>13</v>
      </c>
    </row>
    <row r="15" spans="1:3" x14ac:dyDescent="0.25">
      <c r="A15" s="1">
        <v>14</v>
      </c>
      <c r="B15" t="s">
        <v>70</v>
      </c>
      <c r="C15" t="s">
        <v>21</v>
      </c>
    </row>
    <row r="16" spans="1:3" x14ac:dyDescent="0.25">
      <c r="A16" s="1">
        <v>15</v>
      </c>
      <c r="B16" t="s">
        <v>21</v>
      </c>
      <c r="C16" t="s">
        <v>36</v>
      </c>
    </row>
    <row r="17" spans="1:3" x14ac:dyDescent="0.25">
      <c r="A17" s="1">
        <v>16</v>
      </c>
      <c r="C17" t="s">
        <v>36</v>
      </c>
    </row>
    <row r="18" spans="1:3" x14ac:dyDescent="0.25">
      <c r="A18" s="1">
        <v>17</v>
      </c>
    </row>
    <row r="19" spans="1:3" x14ac:dyDescent="0.25">
      <c r="A19" s="1">
        <v>18</v>
      </c>
    </row>
    <row r="20" spans="1:3" x14ac:dyDescent="0.25">
      <c r="A20" s="1">
        <v>19</v>
      </c>
      <c r="C20" t="s">
        <v>36</v>
      </c>
    </row>
    <row r="21" spans="1:3" x14ac:dyDescent="0.25">
      <c r="A21" s="1">
        <v>20</v>
      </c>
      <c r="B21" t="s">
        <v>36</v>
      </c>
      <c r="C21" t="s">
        <v>45</v>
      </c>
    </row>
    <row r="22" spans="1:3" x14ac:dyDescent="0.25">
      <c r="A22" s="1">
        <v>21</v>
      </c>
      <c r="B22" t="s">
        <v>45</v>
      </c>
      <c r="C22" t="s">
        <v>44</v>
      </c>
    </row>
    <row r="23" spans="1:3" x14ac:dyDescent="0.25">
      <c r="A23" s="1">
        <v>22</v>
      </c>
      <c r="B23" t="s">
        <v>45</v>
      </c>
      <c r="C23" t="s">
        <v>44</v>
      </c>
    </row>
    <row r="24" spans="1:3" x14ac:dyDescent="0.25">
      <c r="A24" s="1">
        <v>23</v>
      </c>
    </row>
    <row r="25" spans="1:3" x14ac:dyDescent="0.25">
      <c r="A25" s="1">
        <v>24</v>
      </c>
      <c r="B25" t="s">
        <v>36</v>
      </c>
      <c r="C25" t="s">
        <v>43</v>
      </c>
    </row>
    <row r="26" spans="1:3" x14ac:dyDescent="0.25">
      <c r="A26" s="1">
        <v>25</v>
      </c>
      <c r="B26" t="s">
        <v>71</v>
      </c>
      <c r="C26" t="s">
        <v>71</v>
      </c>
    </row>
    <row r="27" spans="1:3" x14ac:dyDescent="0.25">
      <c r="A27" s="1">
        <v>26</v>
      </c>
      <c r="B27" t="s">
        <v>42</v>
      </c>
      <c r="C27" t="s">
        <v>41</v>
      </c>
    </row>
    <row r="28" spans="1:3" x14ac:dyDescent="0.25">
      <c r="A28" s="1">
        <v>27</v>
      </c>
    </row>
    <row r="29" spans="1:3" x14ac:dyDescent="0.25">
      <c r="A29" s="1">
        <v>28</v>
      </c>
      <c r="B29" t="s">
        <v>15</v>
      </c>
      <c r="C29" t="s">
        <v>14</v>
      </c>
    </row>
    <row r="30" spans="1:3" x14ac:dyDescent="0.25">
      <c r="A30" s="1">
        <v>29</v>
      </c>
      <c r="B30" t="s">
        <v>70</v>
      </c>
      <c r="C30" t="s">
        <v>24</v>
      </c>
    </row>
    <row r="31" spans="1:3" x14ac:dyDescent="0.25">
      <c r="A31" s="1">
        <v>30</v>
      </c>
      <c r="B31" t="s">
        <v>22</v>
      </c>
      <c r="C31" t="s">
        <v>14</v>
      </c>
    </row>
    <row r="32" spans="1:3" x14ac:dyDescent="0.25">
      <c r="A32" s="1">
        <v>31</v>
      </c>
      <c r="B32" t="s">
        <v>72</v>
      </c>
      <c r="C32" t="s">
        <v>14</v>
      </c>
    </row>
    <row r="33" spans="1:3" x14ac:dyDescent="0.25">
      <c r="A33" s="1">
        <v>32</v>
      </c>
      <c r="B33" t="s">
        <v>11</v>
      </c>
      <c r="C33" t="s">
        <v>3</v>
      </c>
    </row>
    <row r="34" spans="1:3" x14ac:dyDescent="0.25">
      <c r="A34" s="1">
        <v>33</v>
      </c>
      <c r="B34" t="s">
        <v>16</v>
      </c>
      <c r="C34" t="s">
        <v>1</v>
      </c>
    </row>
    <row r="35" spans="1:3" x14ac:dyDescent="0.25">
      <c r="A35" s="1">
        <v>34</v>
      </c>
      <c r="B35" t="s">
        <v>14</v>
      </c>
      <c r="C35" t="s">
        <v>30</v>
      </c>
    </row>
    <row r="36" spans="1:3" x14ac:dyDescent="0.25">
      <c r="A36" s="1">
        <v>35</v>
      </c>
      <c r="B36" t="s">
        <v>14</v>
      </c>
      <c r="C36" t="s">
        <v>3</v>
      </c>
    </row>
    <row r="37" spans="1:3" x14ac:dyDescent="0.25">
      <c r="A37" s="1">
        <v>36</v>
      </c>
      <c r="B37" t="s">
        <v>3</v>
      </c>
      <c r="C37" t="s">
        <v>13</v>
      </c>
    </row>
    <row r="38" spans="1:3" x14ac:dyDescent="0.25">
      <c r="A38" s="1">
        <v>37</v>
      </c>
      <c r="B38" t="s">
        <v>16</v>
      </c>
      <c r="C38" t="s">
        <v>2</v>
      </c>
    </row>
    <row r="39" spans="1:3" x14ac:dyDescent="0.25">
      <c r="A39" s="1">
        <v>38</v>
      </c>
    </row>
    <row r="40" spans="1:3" x14ac:dyDescent="0.25">
      <c r="A40" s="1">
        <v>39</v>
      </c>
    </row>
    <row r="41" spans="1:3" x14ac:dyDescent="0.25">
      <c r="A41" s="1">
        <v>40</v>
      </c>
      <c r="B41" t="s">
        <v>3</v>
      </c>
      <c r="C41" t="s">
        <v>31</v>
      </c>
    </row>
    <row r="42" spans="1:3" x14ac:dyDescent="0.25">
      <c r="A42" s="1">
        <v>41</v>
      </c>
      <c r="B42" t="s">
        <v>33</v>
      </c>
      <c r="C42" t="s">
        <v>14</v>
      </c>
    </row>
    <row r="43" spans="1:3" x14ac:dyDescent="0.25">
      <c r="A43" s="1">
        <v>42</v>
      </c>
      <c r="B43" t="s">
        <v>17</v>
      </c>
      <c r="C43" t="s">
        <v>16</v>
      </c>
    </row>
    <row r="44" spans="1:3" x14ac:dyDescent="0.25">
      <c r="A44" s="1">
        <v>43</v>
      </c>
      <c r="B44" t="s">
        <v>3</v>
      </c>
      <c r="C44" t="s">
        <v>14</v>
      </c>
    </row>
    <row r="45" spans="1:3" x14ac:dyDescent="0.25">
      <c r="A45" s="1">
        <v>44</v>
      </c>
      <c r="C45" t="s">
        <v>26</v>
      </c>
    </row>
    <row r="46" spans="1:3" x14ac:dyDescent="0.25">
      <c r="A46" s="1">
        <v>45</v>
      </c>
      <c r="B46" t="s">
        <v>5</v>
      </c>
      <c r="C46" t="s">
        <v>1</v>
      </c>
    </row>
    <row r="47" spans="1:3" x14ac:dyDescent="0.25">
      <c r="A47" s="1">
        <v>46</v>
      </c>
      <c r="B47" t="s">
        <v>36</v>
      </c>
      <c r="C47" t="s">
        <v>40</v>
      </c>
    </row>
    <row r="48" spans="1:3" x14ac:dyDescent="0.25">
      <c r="A48" s="1">
        <v>47</v>
      </c>
      <c r="B48" t="s">
        <v>11</v>
      </c>
      <c r="C48" t="s">
        <v>10</v>
      </c>
    </row>
    <row r="49" spans="1:3" x14ac:dyDescent="0.25">
      <c r="A49" s="1">
        <v>48</v>
      </c>
      <c r="B49" t="s">
        <v>16</v>
      </c>
      <c r="C49" t="s">
        <v>7</v>
      </c>
    </row>
    <row r="50" spans="1:3" x14ac:dyDescent="0.25">
      <c r="A50" s="1">
        <v>49</v>
      </c>
      <c r="C50" t="s">
        <v>39</v>
      </c>
    </row>
    <row r="51" spans="1:3" x14ac:dyDescent="0.25">
      <c r="A51" s="1">
        <v>50</v>
      </c>
      <c r="B51" t="s">
        <v>38</v>
      </c>
      <c r="C51" t="s">
        <v>38</v>
      </c>
    </row>
    <row r="52" spans="1:3" x14ac:dyDescent="0.25">
      <c r="A52" s="1">
        <v>51</v>
      </c>
      <c r="B52" t="s">
        <v>37</v>
      </c>
      <c r="C52" t="s">
        <v>36</v>
      </c>
    </row>
    <row r="53" spans="1:3" x14ac:dyDescent="0.25">
      <c r="A53" s="1">
        <v>52</v>
      </c>
      <c r="B53" t="s">
        <v>33</v>
      </c>
      <c r="C53" t="s">
        <v>32</v>
      </c>
    </row>
    <row r="54" spans="1:3" x14ac:dyDescent="0.25">
      <c r="A54" s="1">
        <v>53</v>
      </c>
      <c r="B54" t="s">
        <v>9</v>
      </c>
      <c r="C54" t="s">
        <v>34</v>
      </c>
    </row>
    <row r="55" spans="1:3" x14ac:dyDescent="0.25">
      <c r="A55" s="1">
        <v>54</v>
      </c>
      <c r="B55" t="s">
        <v>27</v>
      </c>
      <c r="C55" t="s">
        <v>28</v>
      </c>
    </row>
    <row r="56" spans="1:3" x14ac:dyDescent="0.25">
      <c r="A56" s="1">
        <v>55</v>
      </c>
      <c r="B56" t="s">
        <v>26</v>
      </c>
      <c r="C56" t="s">
        <v>18</v>
      </c>
    </row>
    <row r="57" spans="1:3" x14ac:dyDescent="0.25">
      <c r="A57" s="1">
        <v>56</v>
      </c>
      <c r="B57" t="s">
        <v>29</v>
      </c>
      <c r="C57" t="s">
        <v>35</v>
      </c>
    </row>
    <row r="58" spans="1:3" x14ac:dyDescent="0.25">
      <c r="A58" s="1">
        <v>57</v>
      </c>
      <c r="B58" t="s">
        <v>9</v>
      </c>
      <c r="C58" t="s">
        <v>6</v>
      </c>
    </row>
    <row r="59" spans="1:3" x14ac:dyDescent="0.25">
      <c r="A59" s="1">
        <v>58</v>
      </c>
      <c r="B59" t="s">
        <v>34</v>
      </c>
      <c r="C59" t="s">
        <v>18</v>
      </c>
    </row>
    <row r="60" spans="1:3" x14ac:dyDescent="0.25">
      <c r="A60" s="1">
        <v>59</v>
      </c>
      <c r="B60" t="s">
        <v>33</v>
      </c>
      <c r="C60" t="s">
        <v>9</v>
      </c>
    </row>
    <row r="61" spans="1:3" x14ac:dyDescent="0.25">
      <c r="A61" s="1">
        <v>60</v>
      </c>
      <c r="B61" t="s">
        <v>32</v>
      </c>
      <c r="C61" t="s">
        <v>9</v>
      </c>
    </row>
    <row r="62" spans="1:3" x14ac:dyDescent="0.25">
      <c r="A62" s="1">
        <v>61</v>
      </c>
      <c r="B62" t="s">
        <v>4</v>
      </c>
      <c r="C62" t="s">
        <v>31</v>
      </c>
    </row>
    <row r="63" spans="1:3" x14ac:dyDescent="0.25">
      <c r="A63" s="1">
        <v>62</v>
      </c>
      <c r="B63" t="s">
        <v>3</v>
      </c>
      <c r="C63" t="s">
        <v>9</v>
      </c>
    </row>
    <row r="64" spans="1:3" x14ac:dyDescent="0.25">
      <c r="A64" s="1">
        <v>63</v>
      </c>
      <c r="B64" t="s">
        <v>30</v>
      </c>
      <c r="C64" t="s">
        <v>28</v>
      </c>
    </row>
    <row r="65" spans="1:3" x14ac:dyDescent="0.25">
      <c r="A65" s="1">
        <v>64</v>
      </c>
      <c r="B65" t="s">
        <v>3</v>
      </c>
      <c r="C65" t="s">
        <v>15</v>
      </c>
    </row>
    <row r="66" spans="1:3" x14ac:dyDescent="0.25">
      <c r="A66" s="1">
        <v>65</v>
      </c>
      <c r="B66" t="s">
        <v>25</v>
      </c>
      <c r="C66" t="s">
        <v>8</v>
      </c>
    </row>
    <row r="67" spans="1:3" x14ac:dyDescent="0.25">
      <c r="A67" s="1">
        <v>66</v>
      </c>
      <c r="B67" t="s">
        <v>3</v>
      </c>
      <c r="C67" t="s">
        <v>29</v>
      </c>
    </row>
    <row r="68" spans="1:3" x14ac:dyDescent="0.25">
      <c r="A68" s="1">
        <v>67</v>
      </c>
    </row>
    <row r="69" spans="1:3" x14ac:dyDescent="0.25">
      <c r="A69" s="1">
        <v>68</v>
      </c>
      <c r="B69" t="s">
        <v>3</v>
      </c>
      <c r="C69" t="s">
        <v>28</v>
      </c>
    </row>
    <row r="70" spans="1:3" x14ac:dyDescent="0.25">
      <c r="A70" s="1">
        <v>69</v>
      </c>
      <c r="B70" t="s">
        <v>3</v>
      </c>
      <c r="C70" t="s">
        <v>23</v>
      </c>
    </row>
    <row r="71" spans="1:3" x14ac:dyDescent="0.25">
      <c r="A71" s="1">
        <v>70</v>
      </c>
      <c r="B71" t="s">
        <v>27</v>
      </c>
      <c r="C71" t="s">
        <v>26</v>
      </c>
    </row>
    <row r="72" spans="1:3" x14ac:dyDescent="0.25">
      <c r="A72" s="1">
        <v>71</v>
      </c>
      <c r="B72" t="s">
        <v>25</v>
      </c>
      <c r="C72" t="s">
        <v>14</v>
      </c>
    </row>
    <row r="73" spans="1:3" x14ac:dyDescent="0.25">
      <c r="A73" s="1">
        <v>72</v>
      </c>
      <c r="B73" t="s">
        <v>3</v>
      </c>
      <c r="C73" t="s">
        <v>24</v>
      </c>
    </row>
    <row r="74" spans="1:3" x14ac:dyDescent="0.25">
      <c r="A74" s="1">
        <v>73</v>
      </c>
      <c r="B74" t="s">
        <v>15</v>
      </c>
      <c r="C74" t="s">
        <v>23</v>
      </c>
    </row>
    <row r="75" spans="1:3" x14ac:dyDescent="0.25">
      <c r="A75" s="1">
        <v>74</v>
      </c>
      <c r="B75" t="s">
        <v>7</v>
      </c>
      <c r="C75" t="s">
        <v>22</v>
      </c>
    </row>
    <row r="76" spans="1:3" x14ac:dyDescent="0.25">
      <c r="A76" s="1">
        <v>75</v>
      </c>
      <c r="B76" t="s">
        <v>3</v>
      </c>
      <c r="C76" t="s">
        <v>21</v>
      </c>
    </row>
    <row r="77" spans="1:3" x14ac:dyDescent="0.25">
      <c r="A77" s="1">
        <v>76</v>
      </c>
      <c r="B77" t="s">
        <v>20</v>
      </c>
      <c r="C77" t="s">
        <v>19</v>
      </c>
    </row>
    <row r="78" spans="1:3" x14ac:dyDescent="0.25">
      <c r="A78" s="1">
        <v>77</v>
      </c>
      <c r="B78" t="s">
        <v>3</v>
      </c>
      <c r="C78" t="s">
        <v>18</v>
      </c>
    </row>
    <row r="79" spans="1:3" x14ac:dyDescent="0.25">
      <c r="A79" s="1">
        <v>78</v>
      </c>
      <c r="B79" t="s">
        <v>17</v>
      </c>
      <c r="C79" t="s">
        <v>16</v>
      </c>
    </row>
    <row r="80" spans="1:3" x14ac:dyDescent="0.25">
      <c r="A80" s="1">
        <v>79</v>
      </c>
      <c r="B80" t="s">
        <v>15</v>
      </c>
      <c r="C80" t="s">
        <v>14</v>
      </c>
    </row>
    <row r="81" spans="1:3" x14ac:dyDescent="0.25">
      <c r="A81" s="1">
        <v>80</v>
      </c>
      <c r="B81" t="s">
        <v>13</v>
      </c>
      <c r="C81" t="s">
        <v>12</v>
      </c>
    </row>
    <row r="82" spans="1:3" x14ac:dyDescent="0.25">
      <c r="A82" s="1">
        <v>81</v>
      </c>
      <c r="B82" t="s">
        <v>12</v>
      </c>
      <c r="C82" t="s">
        <v>11</v>
      </c>
    </row>
    <row r="83" spans="1:3" x14ac:dyDescent="0.25">
      <c r="A83" s="1">
        <v>82</v>
      </c>
      <c r="B83" t="s">
        <v>10</v>
      </c>
      <c r="C83" t="s">
        <v>9</v>
      </c>
    </row>
    <row r="84" spans="1:3" x14ac:dyDescent="0.25">
      <c r="A84" s="1">
        <v>83</v>
      </c>
      <c r="B84" t="s">
        <v>8</v>
      </c>
      <c r="C84" t="s">
        <v>7</v>
      </c>
    </row>
    <row r="85" spans="1:3" x14ac:dyDescent="0.25">
      <c r="A85" s="1">
        <v>84</v>
      </c>
      <c r="B85" t="s">
        <v>6</v>
      </c>
      <c r="C85" t="s">
        <v>3</v>
      </c>
    </row>
    <row r="86" spans="1:3" x14ac:dyDescent="0.25">
      <c r="A86" s="1">
        <v>85</v>
      </c>
      <c r="B86" t="s">
        <v>5</v>
      </c>
      <c r="C86" t="s">
        <v>5</v>
      </c>
    </row>
    <row r="87" spans="1:3" x14ac:dyDescent="0.25">
      <c r="A87" s="1">
        <v>86</v>
      </c>
      <c r="B87" t="s">
        <v>4</v>
      </c>
      <c r="C87" t="s">
        <v>3</v>
      </c>
    </row>
    <row r="88" spans="1:3" x14ac:dyDescent="0.25">
      <c r="A88" s="1">
        <v>87</v>
      </c>
      <c r="B88" t="s">
        <v>2</v>
      </c>
      <c r="C88" t="s">
        <v>1</v>
      </c>
    </row>
    <row r="89" spans="1:3" x14ac:dyDescent="0.25">
      <c r="A89" s="1">
        <v>88</v>
      </c>
    </row>
    <row r="90" spans="1:3" x14ac:dyDescent="0.25">
      <c r="A90" s="1">
        <v>89</v>
      </c>
    </row>
    <row r="91" spans="1:3" x14ac:dyDescent="0.25">
      <c r="A91" s="1">
        <v>90</v>
      </c>
    </row>
    <row r="93" spans="1:3" x14ac:dyDescent="0.25">
      <c r="A93" s="2" t="s">
        <v>51</v>
      </c>
      <c r="B93" s="7">
        <f>COUNTIF(B2:B91,"*") - COUNTIF(B2:B91,"False*")</f>
        <v>74</v>
      </c>
      <c r="C93" s="7">
        <f>COUNTIF(C2:C91,"*") - COUNTIF(C2:C91,"False*")</f>
        <v>78</v>
      </c>
    </row>
    <row r="94" spans="1:3" x14ac:dyDescent="0.25">
      <c r="A94" s="3" t="s">
        <v>52</v>
      </c>
      <c r="B94" s="5">
        <f>COUNTIF(B2:B91, "*'hammer':*")</f>
        <v>66</v>
      </c>
      <c r="C94" s="5">
        <f>COUNTIF(C2:C91, "*'hammer':*")</f>
        <v>73</v>
      </c>
    </row>
    <row r="95" spans="1:3" x14ac:dyDescent="0.25">
      <c r="A95" s="3" t="s">
        <v>53</v>
      </c>
      <c r="B95" s="5">
        <f>COUNTIF(B2:B91, "*'chair':*")</f>
        <v>60</v>
      </c>
      <c r="C95" s="5">
        <f>COUNTIF(C2:C91, "*'chair':*")</f>
        <v>64</v>
      </c>
    </row>
    <row r="96" spans="1:3" x14ac:dyDescent="0.25">
      <c r="A96" s="3" t="s">
        <v>54</v>
      </c>
      <c r="B96" s="5">
        <f>COUNTIF(B2:B91, "*'neutral':*")</f>
        <v>52</v>
      </c>
      <c r="C96" s="5">
        <f>COUNTIF(C2:C91, "*'neutral':*")</f>
        <v>51</v>
      </c>
    </row>
    <row r="97" spans="1:3" x14ac:dyDescent="0.25">
      <c r="A97" s="3" t="s">
        <v>55</v>
      </c>
      <c r="B97" s="5">
        <f>COUNTIF(B2:B91, "*'not play':*")</f>
        <v>1</v>
      </c>
      <c r="C97" s="5">
        <f>COUNTIF(C2:C91, "*'not play':*")</f>
        <v>2</v>
      </c>
    </row>
    <row r="98" spans="1:3" x14ac:dyDescent="0.25">
      <c r="A98" s="3" t="s">
        <v>56</v>
      </c>
      <c r="B98" s="5">
        <f>COUNTIF(B2:B91, "*'no book':*")</f>
        <v>1</v>
      </c>
      <c r="C98" s="5">
        <f>COUNTIF(C2:C91, "*'no book':*")</f>
        <v>1</v>
      </c>
    </row>
    <row r="100" spans="1:3" x14ac:dyDescent="0.25">
      <c r="A100" s="8" t="s">
        <v>144</v>
      </c>
      <c r="B100" s="9" t="s">
        <v>143</v>
      </c>
      <c r="C100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6420-A1DE-486D-BBC1-1CDD49A41F94}">
  <sheetPr codeName="Sheet3"/>
  <dimension ref="A1:C100"/>
  <sheetViews>
    <sheetView workbookViewId="0">
      <selection activeCell="B18" sqref="B18"/>
    </sheetView>
  </sheetViews>
  <sheetFormatPr defaultRowHeight="15" x14ac:dyDescent="0.25"/>
  <cols>
    <col min="1" max="1" width="29.140625" customWidth="1"/>
    <col min="2" max="2" width="150.7109375" customWidth="1"/>
    <col min="3" max="3" width="160.7109375" customWidth="1"/>
    <col min="4" max="4" width="97" customWidth="1"/>
  </cols>
  <sheetData>
    <row r="1" spans="1:3" x14ac:dyDescent="0.25">
      <c r="A1" s="1" t="s">
        <v>0</v>
      </c>
      <c r="B1" s="6" t="s">
        <v>48</v>
      </c>
      <c r="C1" s="6" t="s">
        <v>49</v>
      </c>
    </row>
    <row r="2" spans="1:3" x14ac:dyDescent="0.25">
      <c r="A2" s="1">
        <v>1</v>
      </c>
      <c r="B2" t="s">
        <v>73</v>
      </c>
      <c r="C2" t="s">
        <v>74</v>
      </c>
    </row>
    <row r="3" spans="1:3" x14ac:dyDescent="0.25">
      <c r="A3" s="1">
        <v>2</v>
      </c>
      <c r="B3" t="s">
        <v>75</v>
      </c>
      <c r="C3" t="s">
        <v>76</v>
      </c>
    </row>
    <row r="4" spans="1:3" x14ac:dyDescent="0.25">
      <c r="A4" s="1">
        <v>3</v>
      </c>
    </row>
    <row r="5" spans="1:3" x14ac:dyDescent="0.25">
      <c r="A5" s="1">
        <v>4</v>
      </c>
    </row>
    <row r="6" spans="1:3" x14ac:dyDescent="0.25">
      <c r="A6" s="1">
        <v>5</v>
      </c>
    </row>
    <row r="7" spans="1:3" x14ac:dyDescent="0.25">
      <c r="A7" s="1">
        <v>6</v>
      </c>
    </row>
    <row r="8" spans="1:3" x14ac:dyDescent="0.25">
      <c r="A8" s="1">
        <v>7</v>
      </c>
      <c r="B8" t="s">
        <v>77</v>
      </c>
      <c r="C8" t="s">
        <v>78</v>
      </c>
    </row>
    <row r="9" spans="1:3" x14ac:dyDescent="0.25">
      <c r="A9" s="1">
        <v>8</v>
      </c>
      <c r="B9" t="s">
        <v>79</v>
      </c>
      <c r="C9" t="s">
        <v>80</v>
      </c>
    </row>
    <row r="10" spans="1:3" x14ac:dyDescent="0.25">
      <c r="A10" s="1">
        <v>9</v>
      </c>
      <c r="B10" t="s">
        <v>81</v>
      </c>
      <c r="C10" t="s">
        <v>82</v>
      </c>
    </row>
    <row r="11" spans="1:3" x14ac:dyDescent="0.25">
      <c r="A11" s="1">
        <v>10</v>
      </c>
    </row>
    <row r="12" spans="1:3" x14ac:dyDescent="0.25">
      <c r="A12" s="1">
        <v>11</v>
      </c>
    </row>
    <row r="13" spans="1:3" x14ac:dyDescent="0.25">
      <c r="A13" s="1">
        <v>12</v>
      </c>
    </row>
    <row r="14" spans="1:3" x14ac:dyDescent="0.25">
      <c r="A14" s="1">
        <v>13</v>
      </c>
    </row>
    <row r="15" spans="1:3" x14ac:dyDescent="0.25">
      <c r="A15" s="1">
        <v>14</v>
      </c>
      <c r="B15" t="s">
        <v>83</v>
      </c>
      <c r="C15" t="s">
        <v>84</v>
      </c>
    </row>
    <row r="16" spans="1:3" x14ac:dyDescent="0.25">
      <c r="A16" s="1">
        <v>15</v>
      </c>
    </row>
    <row r="17" spans="1:3" x14ac:dyDescent="0.25">
      <c r="A17" s="1">
        <v>16</v>
      </c>
      <c r="B17" t="s">
        <v>85</v>
      </c>
      <c r="C17" t="s">
        <v>86</v>
      </c>
    </row>
    <row r="18" spans="1:3" x14ac:dyDescent="0.25">
      <c r="A18" s="1">
        <v>17</v>
      </c>
    </row>
    <row r="19" spans="1:3" x14ac:dyDescent="0.25">
      <c r="A19" s="1">
        <v>18</v>
      </c>
      <c r="B19" t="s">
        <v>87</v>
      </c>
      <c r="C19" t="s">
        <v>88</v>
      </c>
    </row>
    <row r="20" spans="1:3" x14ac:dyDescent="0.25">
      <c r="A20" s="1">
        <v>19</v>
      </c>
      <c r="B20" t="s">
        <v>89</v>
      </c>
    </row>
    <row r="21" spans="1:3" x14ac:dyDescent="0.25">
      <c r="A21" s="1">
        <v>20</v>
      </c>
    </row>
    <row r="22" spans="1:3" x14ac:dyDescent="0.25">
      <c r="A22" s="1">
        <v>21</v>
      </c>
    </row>
    <row r="23" spans="1:3" x14ac:dyDescent="0.25">
      <c r="A23" s="1">
        <v>22</v>
      </c>
      <c r="B23" t="s">
        <v>90</v>
      </c>
      <c r="C23" t="s">
        <v>91</v>
      </c>
    </row>
    <row r="24" spans="1:3" x14ac:dyDescent="0.25">
      <c r="A24" s="1">
        <v>23</v>
      </c>
    </row>
    <row r="25" spans="1:3" x14ac:dyDescent="0.25">
      <c r="A25" s="1">
        <v>24</v>
      </c>
      <c r="B25" t="s">
        <v>92</v>
      </c>
      <c r="C25" t="s">
        <v>93</v>
      </c>
    </row>
    <row r="26" spans="1:3" x14ac:dyDescent="0.25">
      <c r="A26" s="1">
        <v>25</v>
      </c>
    </row>
    <row r="27" spans="1:3" x14ac:dyDescent="0.25">
      <c r="A27" s="1">
        <v>26</v>
      </c>
      <c r="B27" t="s">
        <v>94</v>
      </c>
    </row>
    <row r="28" spans="1:3" x14ac:dyDescent="0.25">
      <c r="A28" s="1">
        <v>27</v>
      </c>
    </row>
    <row r="29" spans="1:3" x14ac:dyDescent="0.25">
      <c r="A29" s="1">
        <v>28</v>
      </c>
    </row>
    <row r="30" spans="1:3" x14ac:dyDescent="0.25">
      <c r="A30" s="1">
        <v>29</v>
      </c>
    </row>
    <row r="31" spans="1:3" x14ac:dyDescent="0.25">
      <c r="A31" s="1">
        <v>30</v>
      </c>
      <c r="B31" t="s">
        <v>95</v>
      </c>
      <c r="C31" t="s">
        <v>96</v>
      </c>
    </row>
    <row r="32" spans="1:3" x14ac:dyDescent="0.25">
      <c r="A32" s="1">
        <v>31</v>
      </c>
      <c r="B32" t="s">
        <v>97</v>
      </c>
      <c r="C32" t="s">
        <v>98</v>
      </c>
    </row>
    <row r="33" spans="1:3" x14ac:dyDescent="0.25">
      <c r="A33" s="1">
        <v>32</v>
      </c>
    </row>
    <row r="34" spans="1:3" x14ac:dyDescent="0.25">
      <c r="A34" s="1">
        <v>33</v>
      </c>
      <c r="B34" t="s">
        <v>99</v>
      </c>
      <c r="C34" t="s">
        <v>100</v>
      </c>
    </row>
    <row r="35" spans="1:3" x14ac:dyDescent="0.25">
      <c r="A35" s="1">
        <v>34</v>
      </c>
      <c r="B35" t="s">
        <v>101</v>
      </c>
    </row>
    <row r="36" spans="1:3" x14ac:dyDescent="0.25">
      <c r="A36" s="1">
        <v>35</v>
      </c>
    </row>
    <row r="37" spans="1:3" x14ac:dyDescent="0.25">
      <c r="A37" s="1">
        <v>36</v>
      </c>
      <c r="B37" t="s">
        <v>102</v>
      </c>
      <c r="C37" t="s">
        <v>103</v>
      </c>
    </row>
    <row r="38" spans="1:3" x14ac:dyDescent="0.25">
      <c r="A38" s="1">
        <v>37</v>
      </c>
      <c r="B38" t="s">
        <v>104</v>
      </c>
    </row>
    <row r="39" spans="1:3" x14ac:dyDescent="0.25">
      <c r="A39" s="1">
        <v>38</v>
      </c>
    </row>
    <row r="40" spans="1:3" x14ac:dyDescent="0.25">
      <c r="A40" s="1">
        <v>39</v>
      </c>
    </row>
    <row r="41" spans="1:3" x14ac:dyDescent="0.25">
      <c r="A41" s="1">
        <v>40</v>
      </c>
    </row>
    <row r="42" spans="1:3" x14ac:dyDescent="0.25">
      <c r="A42" s="1">
        <v>41</v>
      </c>
    </row>
    <row r="43" spans="1:3" x14ac:dyDescent="0.25">
      <c r="A43" s="1">
        <v>42</v>
      </c>
      <c r="B43" t="s">
        <v>105</v>
      </c>
      <c r="C43" t="s">
        <v>106</v>
      </c>
    </row>
    <row r="44" spans="1:3" x14ac:dyDescent="0.25">
      <c r="A44" s="1">
        <v>43</v>
      </c>
    </row>
    <row r="45" spans="1:3" x14ac:dyDescent="0.25">
      <c r="A45" s="1">
        <v>44</v>
      </c>
      <c r="B45" t="s">
        <v>107</v>
      </c>
      <c r="C45" t="s">
        <v>108</v>
      </c>
    </row>
    <row r="46" spans="1:3" x14ac:dyDescent="0.25">
      <c r="A46" s="1">
        <v>45</v>
      </c>
      <c r="B46" t="s">
        <v>109</v>
      </c>
      <c r="C46" t="s">
        <v>110</v>
      </c>
    </row>
    <row r="47" spans="1:3" x14ac:dyDescent="0.25">
      <c r="A47" s="1">
        <v>46</v>
      </c>
      <c r="B47" t="s">
        <v>111</v>
      </c>
      <c r="C47" t="s">
        <v>112</v>
      </c>
    </row>
    <row r="48" spans="1:3" x14ac:dyDescent="0.25">
      <c r="A48" s="1">
        <v>47</v>
      </c>
    </row>
    <row r="49" spans="1:3" x14ac:dyDescent="0.25">
      <c r="A49" s="1">
        <v>48</v>
      </c>
    </row>
    <row r="50" spans="1:3" x14ac:dyDescent="0.25">
      <c r="A50" s="1">
        <v>49</v>
      </c>
    </row>
    <row r="51" spans="1:3" x14ac:dyDescent="0.25">
      <c r="A51" s="1">
        <v>50</v>
      </c>
      <c r="B51" t="s">
        <v>113</v>
      </c>
      <c r="C51" t="s">
        <v>114</v>
      </c>
    </row>
    <row r="52" spans="1:3" x14ac:dyDescent="0.25">
      <c r="A52" s="1">
        <v>51</v>
      </c>
      <c r="B52" t="s">
        <v>115</v>
      </c>
      <c r="C52" t="s">
        <v>116</v>
      </c>
    </row>
    <row r="53" spans="1:3" x14ac:dyDescent="0.25">
      <c r="A53" s="1">
        <v>52</v>
      </c>
    </row>
    <row r="54" spans="1:3" x14ac:dyDescent="0.25">
      <c r="A54" s="1">
        <v>53</v>
      </c>
      <c r="B54" t="s">
        <v>117</v>
      </c>
      <c r="C54" t="s">
        <v>118</v>
      </c>
    </row>
    <row r="55" spans="1:3" x14ac:dyDescent="0.25">
      <c r="A55" s="1">
        <v>54</v>
      </c>
      <c r="B55" t="s">
        <v>119</v>
      </c>
    </row>
    <row r="56" spans="1:3" x14ac:dyDescent="0.25">
      <c r="A56" s="1">
        <v>55</v>
      </c>
    </row>
    <row r="57" spans="1:3" x14ac:dyDescent="0.25">
      <c r="A57" s="1">
        <v>56</v>
      </c>
    </row>
    <row r="58" spans="1:3" x14ac:dyDescent="0.25">
      <c r="A58" s="1">
        <v>57</v>
      </c>
      <c r="B58" t="s">
        <v>120</v>
      </c>
      <c r="C58" t="s">
        <v>121</v>
      </c>
    </row>
    <row r="59" spans="1:3" x14ac:dyDescent="0.25">
      <c r="A59" s="1">
        <v>58</v>
      </c>
    </row>
    <row r="60" spans="1:3" x14ac:dyDescent="0.25">
      <c r="A60" s="1">
        <v>59</v>
      </c>
    </row>
    <row r="61" spans="1:3" x14ac:dyDescent="0.25">
      <c r="A61" s="1">
        <v>60</v>
      </c>
    </row>
    <row r="62" spans="1:3" x14ac:dyDescent="0.25">
      <c r="A62" s="1">
        <v>61</v>
      </c>
    </row>
    <row r="63" spans="1:3" x14ac:dyDescent="0.25">
      <c r="A63" s="1">
        <v>62</v>
      </c>
      <c r="B63" t="s">
        <v>122</v>
      </c>
      <c r="C63" t="s">
        <v>123</v>
      </c>
    </row>
    <row r="64" spans="1:3" x14ac:dyDescent="0.25">
      <c r="A64" s="1">
        <v>63</v>
      </c>
    </row>
    <row r="65" spans="1:3" x14ac:dyDescent="0.25">
      <c r="A65" s="1">
        <v>64</v>
      </c>
    </row>
    <row r="66" spans="1:3" x14ac:dyDescent="0.25">
      <c r="A66" s="1">
        <v>65</v>
      </c>
    </row>
    <row r="67" spans="1:3" x14ac:dyDescent="0.25">
      <c r="A67" s="1">
        <v>66</v>
      </c>
    </row>
    <row r="68" spans="1:3" x14ac:dyDescent="0.25">
      <c r="A68" s="1">
        <v>67</v>
      </c>
    </row>
    <row r="69" spans="1:3" x14ac:dyDescent="0.25">
      <c r="A69" s="1">
        <v>68</v>
      </c>
    </row>
    <row r="70" spans="1:3" x14ac:dyDescent="0.25">
      <c r="A70" s="1">
        <v>69</v>
      </c>
    </row>
    <row r="71" spans="1:3" x14ac:dyDescent="0.25">
      <c r="A71" s="1">
        <v>70</v>
      </c>
    </row>
    <row r="72" spans="1:3" x14ac:dyDescent="0.25">
      <c r="A72" s="1">
        <v>71</v>
      </c>
      <c r="B72" t="s">
        <v>124</v>
      </c>
      <c r="C72" t="s">
        <v>125</v>
      </c>
    </row>
    <row r="73" spans="1:3" x14ac:dyDescent="0.25">
      <c r="A73" s="1">
        <v>72</v>
      </c>
    </row>
    <row r="74" spans="1:3" x14ac:dyDescent="0.25">
      <c r="A74" s="1">
        <v>73</v>
      </c>
    </row>
    <row r="75" spans="1:3" x14ac:dyDescent="0.25">
      <c r="A75" s="1">
        <v>74</v>
      </c>
      <c r="B75" t="s">
        <v>126</v>
      </c>
      <c r="C75" t="s">
        <v>127</v>
      </c>
    </row>
    <row r="76" spans="1:3" x14ac:dyDescent="0.25">
      <c r="A76" s="1">
        <v>75</v>
      </c>
    </row>
    <row r="77" spans="1:3" x14ac:dyDescent="0.25">
      <c r="A77" s="1">
        <v>76</v>
      </c>
      <c r="B77" t="s">
        <v>128</v>
      </c>
      <c r="C77" t="s">
        <v>129</v>
      </c>
    </row>
    <row r="78" spans="1:3" x14ac:dyDescent="0.25">
      <c r="A78" s="1">
        <v>77</v>
      </c>
    </row>
    <row r="79" spans="1:3" x14ac:dyDescent="0.25">
      <c r="A79" s="1">
        <v>78</v>
      </c>
    </row>
    <row r="80" spans="1:3" x14ac:dyDescent="0.25">
      <c r="A80" s="1">
        <v>79</v>
      </c>
      <c r="B80" t="s">
        <v>130</v>
      </c>
      <c r="C80" t="s">
        <v>131</v>
      </c>
    </row>
    <row r="81" spans="1:3" x14ac:dyDescent="0.25">
      <c r="A81" s="1">
        <v>80</v>
      </c>
      <c r="B81" t="s">
        <v>132</v>
      </c>
      <c r="C81" t="s">
        <v>133</v>
      </c>
    </row>
    <row r="82" spans="1:3" x14ac:dyDescent="0.25">
      <c r="A82" s="1">
        <v>81</v>
      </c>
      <c r="B82" t="s">
        <v>134</v>
      </c>
      <c r="C82" t="s">
        <v>135</v>
      </c>
    </row>
    <row r="83" spans="1:3" x14ac:dyDescent="0.25">
      <c r="A83" s="1">
        <v>82</v>
      </c>
      <c r="B83" t="s">
        <v>136</v>
      </c>
      <c r="C83" t="s">
        <v>137</v>
      </c>
    </row>
    <row r="84" spans="1:3" x14ac:dyDescent="0.25">
      <c r="A84" s="1">
        <v>83</v>
      </c>
    </row>
    <row r="85" spans="1:3" x14ac:dyDescent="0.25">
      <c r="A85" s="1">
        <v>84</v>
      </c>
      <c r="B85" t="s">
        <v>138</v>
      </c>
      <c r="C85" t="s">
        <v>139</v>
      </c>
    </row>
    <row r="86" spans="1:3" x14ac:dyDescent="0.25">
      <c r="A86" s="1">
        <v>85</v>
      </c>
      <c r="B86" t="s">
        <v>140</v>
      </c>
      <c r="C86" t="s">
        <v>141</v>
      </c>
    </row>
    <row r="87" spans="1:3" x14ac:dyDescent="0.25">
      <c r="A87" s="1">
        <v>86</v>
      </c>
    </row>
    <row r="88" spans="1:3" x14ac:dyDescent="0.25">
      <c r="A88" s="1">
        <v>87</v>
      </c>
      <c r="C88" t="s">
        <v>142</v>
      </c>
    </row>
    <row r="89" spans="1:3" x14ac:dyDescent="0.25">
      <c r="A89" s="1">
        <v>88</v>
      </c>
    </row>
    <row r="90" spans="1:3" x14ac:dyDescent="0.25">
      <c r="A90" s="1">
        <v>89</v>
      </c>
    </row>
    <row r="91" spans="1:3" x14ac:dyDescent="0.25">
      <c r="A91" s="1">
        <v>90</v>
      </c>
    </row>
    <row r="93" spans="1:3" x14ac:dyDescent="0.25">
      <c r="A93" s="2" t="s">
        <v>50</v>
      </c>
      <c r="B93" s="4">
        <f>COUNTIF(B2:B91,"*") - COUNTIF(B2:B91,"False*")</f>
        <v>37</v>
      </c>
      <c r="C93" s="4">
        <f t="shared" ref="C93" si="0">COUNTIF(C2:C91,"*") - COUNTIF(C2:C91,"False*")</f>
        <v>33</v>
      </c>
    </row>
    <row r="94" spans="1:3" x14ac:dyDescent="0.25">
      <c r="A94" s="3" t="s">
        <v>52</v>
      </c>
      <c r="B94" s="5">
        <f t="shared" ref="B94:C94" si="1">COUNTIF(B2:B91, "*'hammer':*")</f>
        <v>33</v>
      </c>
      <c r="C94" s="5">
        <f t="shared" si="1"/>
        <v>29</v>
      </c>
    </row>
    <row r="95" spans="1:3" x14ac:dyDescent="0.25">
      <c r="A95" s="3" t="s">
        <v>53</v>
      </c>
      <c r="B95" s="5">
        <f t="shared" ref="B95:C95" si="2">COUNTIF(B2:B91, "*'chair':*")</f>
        <v>33</v>
      </c>
      <c r="C95" s="5">
        <f t="shared" si="2"/>
        <v>30</v>
      </c>
    </row>
    <row r="96" spans="1:3" x14ac:dyDescent="0.25">
      <c r="A96" s="3" t="s">
        <v>54</v>
      </c>
      <c r="B96" s="5">
        <f>COUNTIF(B2:B91, "*'neutral':*")</f>
        <v>0</v>
      </c>
      <c r="C96" s="5">
        <f t="shared" ref="C96" si="3">COUNTIF(C2:C91, "*'neutral':*")</f>
        <v>0</v>
      </c>
    </row>
    <row r="97" spans="1:3" x14ac:dyDescent="0.25">
      <c r="A97" s="3" t="s">
        <v>55</v>
      </c>
      <c r="B97" s="5">
        <f t="shared" ref="B97:C97" si="4">COUNTIF(B2:B91, "*'not play':*")</f>
        <v>0</v>
      </c>
      <c r="C97" s="5">
        <f t="shared" si="4"/>
        <v>0</v>
      </c>
    </row>
    <row r="98" spans="1:3" x14ac:dyDescent="0.25">
      <c r="A98" s="3" t="s">
        <v>56</v>
      </c>
      <c r="B98" s="5">
        <f>COUNTIF(B2:B91, "*'no book':*")</f>
        <v>0</v>
      </c>
      <c r="C98" s="5">
        <f>COUNTIF(C2:C91, "*'no book':*")</f>
        <v>0</v>
      </c>
    </row>
    <row r="100" spans="1:3" x14ac:dyDescent="0.25">
      <c r="A100" s="8" t="s">
        <v>144</v>
      </c>
      <c r="B100" s="9" t="s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F98F-8420-444A-BC6C-9F05618DB2F5}">
  <dimension ref="A1:C102"/>
  <sheetViews>
    <sheetView tabSelected="1" workbookViewId="0">
      <selection activeCell="B42" sqref="B42"/>
    </sheetView>
  </sheetViews>
  <sheetFormatPr defaultRowHeight="15" x14ac:dyDescent="0.25"/>
  <cols>
    <col min="1" max="1" width="35.28515625" customWidth="1"/>
    <col min="2" max="2" width="128.28515625" customWidth="1"/>
    <col min="3" max="3" width="50.42578125" customWidth="1"/>
  </cols>
  <sheetData>
    <row r="1" spans="1:3" x14ac:dyDescent="0.25">
      <c r="A1" s="6" t="s">
        <v>0</v>
      </c>
      <c r="B1" s="6" t="s">
        <v>66</v>
      </c>
      <c r="C1" s="6" t="s">
        <v>67</v>
      </c>
    </row>
    <row r="2" spans="1:3" x14ac:dyDescent="0.25">
      <c r="A2" s="6">
        <v>1</v>
      </c>
      <c r="B2" t="s">
        <v>64</v>
      </c>
      <c r="C2" t="s">
        <v>64</v>
      </c>
    </row>
    <row r="3" spans="1:3" x14ac:dyDescent="0.25">
      <c r="A3" s="6">
        <v>2</v>
      </c>
      <c r="B3" t="s">
        <v>64</v>
      </c>
      <c r="C3" t="s">
        <v>65</v>
      </c>
    </row>
    <row r="4" spans="1:3" x14ac:dyDescent="0.25">
      <c r="A4" s="6">
        <v>3</v>
      </c>
      <c r="B4" t="s">
        <v>61</v>
      </c>
      <c r="C4" t="s">
        <v>61</v>
      </c>
    </row>
    <row r="5" spans="1:3" x14ac:dyDescent="0.25">
      <c r="A5" s="6">
        <v>4</v>
      </c>
      <c r="B5" t="s">
        <v>64</v>
      </c>
      <c r="C5" t="s">
        <v>64</v>
      </c>
    </row>
    <row r="6" spans="1:3" x14ac:dyDescent="0.25">
      <c r="A6" s="6">
        <v>5</v>
      </c>
      <c r="B6" t="s">
        <v>65</v>
      </c>
      <c r="C6" t="s">
        <v>65</v>
      </c>
    </row>
    <row r="7" spans="1:3" x14ac:dyDescent="0.25">
      <c r="A7" s="6">
        <v>6</v>
      </c>
      <c r="B7" t="s">
        <v>64</v>
      </c>
      <c r="C7" t="s">
        <v>64</v>
      </c>
    </row>
    <row r="8" spans="1:3" x14ac:dyDescent="0.25">
      <c r="A8" s="6">
        <v>7</v>
      </c>
    </row>
    <row r="9" spans="1:3" x14ac:dyDescent="0.25">
      <c r="A9" s="6">
        <v>8</v>
      </c>
      <c r="B9" t="s">
        <v>64</v>
      </c>
      <c r="C9" t="s">
        <v>64</v>
      </c>
    </row>
    <row r="10" spans="1:3" x14ac:dyDescent="0.25">
      <c r="A10" s="6">
        <v>9</v>
      </c>
      <c r="B10" t="s">
        <v>64</v>
      </c>
      <c r="C10" t="s">
        <v>64</v>
      </c>
    </row>
    <row r="11" spans="1:3" x14ac:dyDescent="0.25">
      <c r="A11" s="6">
        <v>10</v>
      </c>
      <c r="B11" t="s">
        <v>64</v>
      </c>
      <c r="C11" t="s">
        <v>64</v>
      </c>
    </row>
    <row r="12" spans="1:3" x14ac:dyDescent="0.25">
      <c r="A12" s="6">
        <v>11</v>
      </c>
      <c r="B12" t="s">
        <v>64</v>
      </c>
      <c r="C12" t="s">
        <v>64</v>
      </c>
    </row>
    <row r="13" spans="1:3" x14ac:dyDescent="0.25">
      <c r="A13" s="6">
        <v>12</v>
      </c>
      <c r="B13" t="s">
        <v>64</v>
      </c>
      <c r="C13" t="s">
        <v>64</v>
      </c>
    </row>
    <row r="14" spans="1:3" x14ac:dyDescent="0.25">
      <c r="A14" s="6">
        <v>13</v>
      </c>
    </row>
    <row r="15" spans="1:3" x14ac:dyDescent="0.25">
      <c r="A15" s="6">
        <v>14</v>
      </c>
      <c r="B15" t="s">
        <v>64</v>
      </c>
      <c r="C15" t="s">
        <v>64</v>
      </c>
    </row>
    <row r="16" spans="1:3" x14ac:dyDescent="0.25">
      <c r="A16" s="6">
        <v>15</v>
      </c>
      <c r="B16" t="s">
        <v>64</v>
      </c>
      <c r="C16" t="s">
        <v>64</v>
      </c>
    </row>
    <row r="17" spans="1:3" x14ac:dyDescent="0.25">
      <c r="A17" s="6">
        <v>16</v>
      </c>
      <c r="B17" t="s">
        <v>64</v>
      </c>
      <c r="C17" t="s">
        <v>64</v>
      </c>
    </row>
    <row r="18" spans="1:3" x14ac:dyDescent="0.25">
      <c r="A18" s="6">
        <v>17</v>
      </c>
    </row>
    <row r="19" spans="1:3" x14ac:dyDescent="0.25">
      <c r="A19" s="6">
        <v>18</v>
      </c>
    </row>
    <row r="20" spans="1:3" x14ac:dyDescent="0.25">
      <c r="A20" s="6">
        <v>19</v>
      </c>
      <c r="B20" t="s">
        <v>64</v>
      </c>
      <c r="C20" t="s">
        <v>64</v>
      </c>
    </row>
    <row r="21" spans="1:3" x14ac:dyDescent="0.25">
      <c r="A21" s="6">
        <v>20</v>
      </c>
      <c r="B21" t="s">
        <v>64</v>
      </c>
      <c r="C21" t="s">
        <v>64</v>
      </c>
    </row>
    <row r="22" spans="1:3" x14ac:dyDescent="0.25">
      <c r="A22" s="6">
        <v>21</v>
      </c>
      <c r="B22" t="s">
        <v>64</v>
      </c>
      <c r="C22" t="s">
        <v>64</v>
      </c>
    </row>
    <row r="23" spans="1:3" x14ac:dyDescent="0.25">
      <c r="A23" s="6">
        <v>22</v>
      </c>
      <c r="B23" t="s">
        <v>64</v>
      </c>
      <c r="C23" t="s">
        <v>64</v>
      </c>
    </row>
    <row r="24" spans="1:3" x14ac:dyDescent="0.25">
      <c r="A24" s="6">
        <v>23</v>
      </c>
    </row>
    <row r="25" spans="1:3" x14ac:dyDescent="0.25">
      <c r="A25" s="6">
        <v>24</v>
      </c>
      <c r="B25" t="s">
        <v>64</v>
      </c>
      <c r="C25" t="s">
        <v>64</v>
      </c>
    </row>
    <row r="26" spans="1:3" x14ac:dyDescent="0.25">
      <c r="A26" s="6">
        <v>25</v>
      </c>
      <c r="B26" t="s">
        <v>63</v>
      </c>
      <c r="C26" t="s">
        <v>63</v>
      </c>
    </row>
    <row r="27" spans="1:3" x14ac:dyDescent="0.25">
      <c r="A27" s="6">
        <v>26</v>
      </c>
      <c r="B27" t="s">
        <v>62</v>
      </c>
      <c r="C27" t="s">
        <v>62</v>
      </c>
    </row>
    <row r="28" spans="1:3" x14ac:dyDescent="0.25">
      <c r="A28" s="6">
        <v>27</v>
      </c>
    </row>
    <row r="29" spans="1:3" x14ac:dyDescent="0.25">
      <c r="A29" s="6">
        <v>28</v>
      </c>
      <c r="B29" t="s">
        <v>57</v>
      </c>
      <c r="C29" t="s">
        <v>57</v>
      </c>
    </row>
    <row r="30" spans="1:3" x14ac:dyDescent="0.25">
      <c r="A30" s="6">
        <v>29</v>
      </c>
      <c r="B30" t="s">
        <v>61</v>
      </c>
      <c r="C30" t="s">
        <v>61</v>
      </c>
    </row>
    <row r="31" spans="1:3" x14ac:dyDescent="0.25">
      <c r="A31" s="6">
        <v>30</v>
      </c>
      <c r="B31" t="s">
        <v>60</v>
      </c>
      <c r="C31" t="s">
        <v>57</v>
      </c>
    </row>
    <row r="32" spans="1:3" x14ac:dyDescent="0.25">
      <c r="A32" s="6">
        <v>31</v>
      </c>
      <c r="B32" t="s">
        <v>57</v>
      </c>
      <c r="C32" t="s">
        <v>57</v>
      </c>
    </row>
    <row r="33" spans="1:3" x14ac:dyDescent="0.25">
      <c r="A33" s="6">
        <v>32</v>
      </c>
      <c r="B33" t="s">
        <v>57</v>
      </c>
      <c r="C33" t="s">
        <v>57</v>
      </c>
    </row>
    <row r="34" spans="1:3" x14ac:dyDescent="0.25">
      <c r="A34" s="6">
        <v>33</v>
      </c>
      <c r="B34" t="s">
        <v>58</v>
      </c>
      <c r="C34" t="s">
        <v>58</v>
      </c>
    </row>
    <row r="35" spans="1:3" x14ac:dyDescent="0.25">
      <c r="A35" s="6">
        <v>34</v>
      </c>
      <c r="B35" t="s">
        <v>57</v>
      </c>
      <c r="C35" t="s">
        <v>57</v>
      </c>
    </row>
    <row r="36" spans="1:3" x14ac:dyDescent="0.25">
      <c r="A36" s="6">
        <v>35</v>
      </c>
      <c r="B36" t="s">
        <v>57</v>
      </c>
      <c r="C36" t="s">
        <v>57</v>
      </c>
    </row>
    <row r="37" spans="1:3" x14ac:dyDescent="0.25">
      <c r="A37" s="6">
        <v>36</v>
      </c>
      <c r="B37" t="s">
        <v>57</v>
      </c>
      <c r="C37" t="s">
        <v>57</v>
      </c>
    </row>
    <row r="38" spans="1:3" x14ac:dyDescent="0.25">
      <c r="A38" s="6">
        <v>37</v>
      </c>
      <c r="B38" t="s">
        <v>58</v>
      </c>
      <c r="C38" t="s">
        <v>58</v>
      </c>
    </row>
    <row r="39" spans="1:3" x14ac:dyDescent="0.25">
      <c r="A39" s="6">
        <v>38</v>
      </c>
    </row>
    <row r="40" spans="1:3" x14ac:dyDescent="0.25">
      <c r="A40" s="6">
        <v>39</v>
      </c>
    </row>
    <row r="41" spans="1:3" x14ac:dyDescent="0.25">
      <c r="A41" s="6">
        <v>40</v>
      </c>
      <c r="B41" t="s">
        <v>57</v>
      </c>
      <c r="C41" t="s">
        <v>57</v>
      </c>
    </row>
    <row r="42" spans="1:3" x14ac:dyDescent="0.25">
      <c r="A42" s="6">
        <v>41</v>
      </c>
      <c r="B42" t="s">
        <v>59</v>
      </c>
      <c r="C42" t="s">
        <v>57</v>
      </c>
    </row>
    <row r="43" spans="1:3" x14ac:dyDescent="0.25">
      <c r="A43" s="6">
        <v>42</v>
      </c>
      <c r="B43" t="s">
        <v>58</v>
      </c>
      <c r="C43" t="s">
        <v>58</v>
      </c>
    </row>
    <row r="44" spans="1:3" x14ac:dyDescent="0.25">
      <c r="A44" s="6">
        <v>43</v>
      </c>
      <c r="B44" t="s">
        <v>57</v>
      </c>
      <c r="C44" t="s">
        <v>57</v>
      </c>
    </row>
    <row r="45" spans="1:3" x14ac:dyDescent="0.25">
      <c r="A45" s="6">
        <v>44</v>
      </c>
    </row>
    <row r="46" spans="1:3" x14ac:dyDescent="0.25">
      <c r="A46" s="6">
        <v>45</v>
      </c>
    </row>
    <row r="47" spans="1:3" x14ac:dyDescent="0.25">
      <c r="A47" s="6">
        <v>46</v>
      </c>
    </row>
    <row r="48" spans="1:3" x14ac:dyDescent="0.25">
      <c r="A48" s="6">
        <v>47</v>
      </c>
    </row>
    <row r="49" spans="1:1" x14ac:dyDescent="0.25">
      <c r="A49" s="6">
        <v>48</v>
      </c>
    </row>
    <row r="50" spans="1:1" x14ac:dyDescent="0.25">
      <c r="A50" s="6">
        <v>49</v>
      </c>
    </row>
    <row r="51" spans="1:1" x14ac:dyDescent="0.25">
      <c r="A51" s="6">
        <v>50</v>
      </c>
    </row>
    <row r="52" spans="1:1" x14ac:dyDescent="0.25">
      <c r="A52" s="6">
        <v>51</v>
      </c>
    </row>
    <row r="53" spans="1:1" x14ac:dyDescent="0.25">
      <c r="A53" s="6">
        <v>52</v>
      </c>
    </row>
    <row r="54" spans="1:1" x14ac:dyDescent="0.25">
      <c r="A54" s="6">
        <v>53</v>
      </c>
    </row>
    <row r="55" spans="1:1" x14ac:dyDescent="0.25">
      <c r="A55" s="6">
        <v>54</v>
      </c>
    </row>
    <row r="56" spans="1:1" x14ac:dyDescent="0.25">
      <c r="A56" s="6">
        <v>55</v>
      </c>
    </row>
    <row r="57" spans="1:1" x14ac:dyDescent="0.25">
      <c r="A57" s="6">
        <v>56</v>
      </c>
    </row>
    <row r="58" spans="1:1" x14ac:dyDescent="0.25">
      <c r="A58" s="6">
        <v>57</v>
      </c>
    </row>
    <row r="59" spans="1:1" x14ac:dyDescent="0.25">
      <c r="A59" s="6">
        <v>58</v>
      </c>
    </row>
    <row r="60" spans="1:1" x14ac:dyDescent="0.25">
      <c r="A60" s="6">
        <v>59</v>
      </c>
    </row>
    <row r="61" spans="1:1" x14ac:dyDescent="0.25">
      <c r="A61" s="6">
        <v>60</v>
      </c>
    </row>
    <row r="62" spans="1:1" x14ac:dyDescent="0.25">
      <c r="A62" s="6">
        <v>61</v>
      </c>
    </row>
    <row r="63" spans="1:1" x14ac:dyDescent="0.25">
      <c r="A63" s="6">
        <v>62</v>
      </c>
    </row>
    <row r="64" spans="1:1" x14ac:dyDescent="0.25">
      <c r="A64" s="6">
        <v>63</v>
      </c>
    </row>
    <row r="65" spans="1:1" x14ac:dyDescent="0.25">
      <c r="A65" s="6">
        <v>64</v>
      </c>
    </row>
    <row r="66" spans="1:1" x14ac:dyDescent="0.25">
      <c r="A66" s="6">
        <v>65</v>
      </c>
    </row>
    <row r="67" spans="1:1" x14ac:dyDescent="0.25">
      <c r="A67" s="6">
        <v>66</v>
      </c>
    </row>
    <row r="68" spans="1:1" x14ac:dyDescent="0.25">
      <c r="A68" s="6">
        <v>67</v>
      </c>
    </row>
    <row r="69" spans="1:1" x14ac:dyDescent="0.25">
      <c r="A69" s="6">
        <v>68</v>
      </c>
    </row>
    <row r="70" spans="1:1" x14ac:dyDescent="0.25">
      <c r="A70" s="6">
        <v>69</v>
      </c>
    </row>
    <row r="71" spans="1:1" x14ac:dyDescent="0.25">
      <c r="A71" s="6">
        <v>70</v>
      </c>
    </row>
    <row r="72" spans="1:1" x14ac:dyDescent="0.25">
      <c r="A72" s="6">
        <v>71</v>
      </c>
    </row>
    <row r="73" spans="1:1" x14ac:dyDescent="0.25">
      <c r="A73" s="6">
        <v>72</v>
      </c>
    </row>
    <row r="74" spans="1:1" x14ac:dyDescent="0.25">
      <c r="A74" s="6">
        <v>73</v>
      </c>
    </row>
    <row r="75" spans="1:1" x14ac:dyDescent="0.25">
      <c r="A75" s="6">
        <v>74</v>
      </c>
    </row>
    <row r="76" spans="1:1" x14ac:dyDescent="0.25">
      <c r="A76" s="6">
        <v>75</v>
      </c>
    </row>
    <row r="77" spans="1:1" x14ac:dyDescent="0.25">
      <c r="A77" s="6">
        <v>76</v>
      </c>
    </row>
    <row r="78" spans="1:1" x14ac:dyDescent="0.25">
      <c r="A78" s="6">
        <v>77</v>
      </c>
    </row>
    <row r="79" spans="1:1" x14ac:dyDescent="0.25">
      <c r="A79" s="6">
        <v>78</v>
      </c>
    </row>
    <row r="80" spans="1:1" x14ac:dyDescent="0.25">
      <c r="A80" s="6">
        <v>79</v>
      </c>
    </row>
    <row r="81" spans="1:3" x14ac:dyDescent="0.25">
      <c r="A81" s="6">
        <v>80</v>
      </c>
    </row>
    <row r="82" spans="1:3" x14ac:dyDescent="0.25">
      <c r="A82" s="6">
        <v>81</v>
      </c>
    </row>
    <row r="83" spans="1:3" x14ac:dyDescent="0.25">
      <c r="A83" s="6">
        <v>82</v>
      </c>
    </row>
    <row r="84" spans="1:3" x14ac:dyDescent="0.25">
      <c r="A84" s="6">
        <v>83</v>
      </c>
    </row>
    <row r="85" spans="1:3" x14ac:dyDescent="0.25">
      <c r="A85" s="6">
        <v>84</v>
      </c>
    </row>
    <row r="86" spans="1:3" x14ac:dyDescent="0.25">
      <c r="A86" s="6">
        <v>85</v>
      </c>
    </row>
    <row r="87" spans="1:3" x14ac:dyDescent="0.25">
      <c r="A87" s="6">
        <v>86</v>
      </c>
    </row>
    <row r="88" spans="1:3" x14ac:dyDescent="0.25">
      <c r="A88" s="6">
        <v>87</v>
      </c>
    </row>
    <row r="89" spans="1:3" x14ac:dyDescent="0.25">
      <c r="A89" s="6">
        <v>88</v>
      </c>
    </row>
    <row r="90" spans="1:3" x14ac:dyDescent="0.25">
      <c r="A90" s="6">
        <v>89</v>
      </c>
    </row>
    <row r="91" spans="1:3" x14ac:dyDescent="0.25">
      <c r="A91" s="6">
        <v>90</v>
      </c>
    </row>
    <row r="93" spans="1:3" x14ac:dyDescent="0.25">
      <c r="A93" s="2" t="s">
        <v>50</v>
      </c>
      <c r="B93" s="4">
        <f>COUNTIF(B2:B91,"*") - COUNTIF(B2:B91,"False*")</f>
        <v>35</v>
      </c>
      <c r="C93" s="4">
        <f>COUNTIF(C2:C91,"*") - COUNTIF(C2:C91,"False*")</f>
        <v>35</v>
      </c>
    </row>
    <row r="94" spans="1:3" x14ac:dyDescent="0.25">
      <c r="A94" s="11" t="s">
        <v>147</v>
      </c>
      <c r="B94" s="10">
        <f>COUNTIF(B2:B91, "*'ibis':*")</f>
        <v>35</v>
      </c>
      <c r="C94" s="10">
        <f>COUNTIF(C2:C91, "*'ibis':*")</f>
        <v>35</v>
      </c>
    </row>
    <row r="95" spans="1:3" x14ac:dyDescent="0.25">
      <c r="A95" s="11" t="s">
        <v>148</v>
      </c>
      <c r="B95" s="10">
        <f>COUNTIF(B2:B91, "*'peaks':*")</f>
        <v>35</v>
      </c>
      <c r="C95" s="10">
        <f>COUNTIF(C2:C91, "*'peaks':*")</f>
        <v>35</v>
      </c>
    </row>
    <row r="96" spans="1:3" x14ac:dyDescent="0.25">
      <c r="A96" s="3" t="s">
        <v>52</v>
      </c>
      <c r="B96" s="5">
        <f>COUNTIF(B2:B91, "*'hammer':*")</f>
        <v>31</v>
      </c>
      <c r="C96" s="5">
        <f>COUNTIF(C2:C91, "*'hammer':*")</f>
        <v>33</v>
      </c>
    </row>
    <row r="97" spans="1:3" x14ac:dyDescent="0.25">
      <c r="A97" s="3" t="s">
        <v>53</v>
      </c>
      <c r="B97" s="5">
        <f>COUNTIF(B2:B91, "*'chair':*")</f>
        <v>30</v>
      </c>
      <c r="C97" s="5">
        <f>COUNTIF(C3:C91, "*'chair':*")</f>
        <v>29</v>
      </c>
    </row>
    <row r="98" spans="1:3" x14ac:dyDescent="0.25">
      <c r="A98" s="3" t="s">
        <v>54</v>
      </c>
      <c r="B98" s="5">
        <f>COUNTIF(B2:B91, "*'neutral':*")</f>
        <v>13</v>
      </c>
      <c r="C98" s="5">
        <f>COUNTIF(C2:C91, "*'neutral':*")</f>
        <v>13</v>
      </c>
    </row>
    <row r="99" spans="1:3" x14ac:dyDescent="0.25">
      <c r="A99" s="3" t="s">
        <v>55</v>
      </c>
      <c r="B99" s="5">
        <f>COUNTIF(B2:B91, "*'not play':*")</f>
        <v>2</v>
      </c>
      <c r="C99" s="5">
        <f>COUNTIF(C2:C91, "*'not play':*")</f>
        <v>2</v>
      </c>
    </row>
    <row r="100" spans="1:3" x14ac:dyDescent="0.25">
      <c r="A100" s="3" t="s">
        <v>56</v>
      </c>
      <c r="B100" s="5">
        <f>COUNTIF(B2:B91, "*'no book':*")</f>
        <v>1</v>
      </c>
      <c r="C100" s="5">
        <f>COUNTIF(C2:C91, "*'no book':*")</f>
        <v>1</v>
      </c>
    </row>
    <row r="102" spans="1:3" x14ac:dyDescent="0.25">
      <c r="A102" s="8" t="s">
        <v>144</v>
      </c>
      <c r="B102" s="9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03_ibi_after_manual_coding 9 m</vt:lpstr>
      <vt:lpstr>03_ibi_after_manual_coding 18 m</vt:lpstr>
      <vt:lpstr>01_ibi_after_extraction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Besser</cp:lastModifiedBy>
  <dcterms:created xsi:type="dcterms:W3CDTF">2025-09-11T14:50:37Z</dcterms:created>
  <dcterms:modified xsi:type="dcterms:W3CDTF">2025-10-14T11:05:01Z</dcterms:modified>
</cp:coreProperties>
</file>