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PhD project\"/>
    </mc:Choice>
  </mc:AlternateContent>
  <xr:revisionPtr revIDLastSave="0" documentId="13_ncr:1_{77A87AD5-1010-475C-B4F8-CF24C627159C}" xr6:coauthVersionLast="47" xr6:coauthVersionMax="47" xr10:uidLastSave="{00000000-0000-0000-0000-000000000000}"/>
  <bookViews>
    <workbookView xWindow="7485" yWindow="-16320" windowWidth="29040" windowHeight="15840" xr2:uid="{00000000-000D-0000-FFFF-FFFF00000000}"/>
  </bookViews>
  <sheets>
    <sheet name="9m" sheetId="1" r:id="rId1"/>
    <sheet name="overview" sheetId="10" r:id="rId2"/>
  </sheets>
  <definedNames>
    <definedName name="_xlnm._FilterDatabase" localSheetId="1" hidden="1">overview!$A$3:$S$98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6" i="10" l="1"/>
  <c r="M96" i="10"/>
  <c r="I96" i="10"/>
  <c r="J96" i="10"/>
  <c r="K96" i="10"/>
  <c r="F97" i="10" l="1"/>
  <c r="F96" i="10"/>
  <c r="E97" i="10" l="1"/>
  <c r="E96" i="10"/>
  <c r="D97" i="10"/>
  <c r="D96" i="10"/>
  <c r="G97" i="10"/>
  <c r="G96" i="10"/>
  <c r="DE27" i="1"/>
  <c r="DC27" i="1"/>
  <c r="DM87" i="1"/>
  <c r="DK87" i="1"/>
  <c r="DG87" i="1"/>
  <c r="DE87" i="1"/>
  <c r="DC87" i="1"/>
  <c r="DK83" i="1"/>
  <c r="DE83" i="1"/>
  <c r="DC83" i="1"/>
  <c r="DK82" i="1"/>
  <c r="DI82" i="1"/>
  <c r="DG82" i="1"/>
  <c r="DE82" i="1"/>
  <c r="DC82" i="1"/>
  <c r="DM79" i="1"/>
  <c r="DK79" i="1"/>
  <c r="DI79" i="1"/>
  <c r="DG79" i="1"/>
  <c r="DE79" i="1"/>
  <c r="DC79" i="1"/>
  <c r="DK74" i="1"/>
  <c r="DI74" i="1"/>
  <c r="DE74" i="1"/>
  <c r="DC74" i="1"/>
  <c r="DE65" i="1"/>
  <c r="DM60" i="1"/>
  <c r="DK60" i="1"/>
  <c r="DI60" i="1"/>
  <c r="DG60" i="1"/>
  <c r="DC60" i="1"/>
  <c r="DE56" i="1"/>
  <c r="DK54" i="1"/>
  <c r="DG54" i="1"/>
  <c r="DC54" i="1"/>
  <c r="DK53" i="1"/>
  <c r="DC53" i="1"/>
  <c r="DI48" i="1"/>
  <c r="DG48" i="1"/>
  <c r="DM47" i="1"/>
  <c r="DI47" i="1"/>
  <c r="DE47" i="1"/>
  <c r="DC47" i="1"/>
  <c r="DM36" i="1"/>
  <c r="DK36" i="1"/>
  <c r="DG36" i="1"/>
  <c r="DC36" i="1"/>
  <c r="DG34" i="1"/>
  <c r="DC34" i="1"/>
  <c r="DK33" i="1"/>
  <c r="DC33" i="1"/>
  <c r="DI25" i="1"/>
  <c r="DG25" i="1"/>
  <c r="DM21" i="1"/>
  <c r="DK21" i="1"/>
  <c r="DE21" i="1"/>
  <c r="DK19" i="1"/>
  <c r="DC19" i="1"/>
  <c r="DM17" i="1"/>
  <c r="DK11" i="1"/>
  <c r="DG11" i="1"/>
  <c r="DC11" i="1"/>
  <c r="DM10" i="1"/>
  <c r="DK10" i="1"/>
  <c r="DM5" i="1"/>
  <c r="DM4" i="1"/>
  <c r="DK5" i="1"/>
  <c r="DG4" i="1"/>
  <c r="DE5" i="1"/>
  <c r="DC4" i="1"/>
  <c r="BW35" i="1" l="1"/>
  <c r="BR35" i="1"/>
  <c r="BW92" i="1" l="1"/>
  <c r="BR92" i="1"/>
  <c r="BW89" i="1"/>
  <c r="BR89" i="1"/>
  <c r="BW88" i="1"/>
  <c r="BR88" i="1"/>
  <c r="BW87" i="1"/>
  <c r="BR87" i="1"/>
  <c r="BW84" i="1"/>
  <c r="BR84" i="1"/>
  <c r="BW82" i="1"/>
  <c r="BR82" i="1"/>
  <c r="BW80" i="1"/>
  <c r="BR80" i="1"/>
  <c r="BW79" i="1"/>
  <c r="BR79" i="1"/>
  <c r="BW77" i="1"/>
  <c r="BR77" i="1"/>
  <c r="BW75" i="1"/>
  <c r="BR75" i="1"/>
  <c r="BW74" i="1"/>
  <c r="BR74" i="1"/>
  <c r="BW72" i="1"/>
  <c r="BR72" i="1"/>
  <c r="BW71" i="1"/>
  <c r="BR71" i="1"/>
  <c r="BW69" i="1"/>
  <c r="BR69" i="1"/>
  <c r="BW67" i="1"/>
  <c r="BR67" i="1"/>
  <c r="BW66" i="1"/>
  <c r="BR66" i="1"/>
  <c r="BW65" i="1"/>
  <c r="BR65" i="1"/>
  <c r="BW64" i="1"/>
  <c r="BR64" i="1"/>
  <c r="BW63" i="1"/>
  <c r="BR63" i="1"/>
  <c r="BW62" i="1"/>
  <c r="BR62" i="1"/>
  <c r="BW61" i="1"/>
  <c r="BR61" i="1"/>
  <c r="BW60" i="1"/>
  <c r="BR60" i="1"/>
  <c r="BW59" i="1"/>
  <c r="BR59" i="1"/>
  <c r="BW58" i="1"/>
  <c r="BR58" i="1"/>
  <c r="BW57" i="1"/>
  <c r="BR57" i="1"/>
  <c r="BW55" i="1"/>
  <c r="BR55" i="1"/>
  <c r="BW54" i="1"/>
  <c r="BR54" i="1"/>
  <c r="BW53" i="1"/>
  <c r="BR53" i="1"/>
  <c r="BW52" i="1"/>
  <c r="BR52" i="1"/>
  <c r="BW48" i="1"/>
  <c r="BR48" i="1"/>
  <c r="BW47" i="1"/>
  <c r="BR47" i="1"/>
  <c r="BW46" i="1"/>
  <c r="BR46" i="1"/>
  <c r="BW45" i="1"/>
  <c r="BR45" i="1"/>
  <c r="BW44" i="1"/>
  <c r="BR44" i="1"/>
  <c r="BW43" i="1"/>
  <c r="BR43" i="1"/>
  <c r="BW40" i="1"/>
  <c r="BR40" i="1"/>
  <c r="BW38" i="1"/>
  <c r="BR38" i="1"/>
  <c r="BW37" i="1"/>
  <c r="BR37" i="1"/>
  <c r="BW36" i="1"/>
  <c r="BR36" i="1"/>
  <c r="BW33" i="1"/>
  <c r="BR33" i="1"/>
  <c r="BW22" i="1"/>
  <c r="BW20" i="1"/>
  <c r="BW19" i="1"/>
  <c r="BW17" i="1"/>
  <c r="BW15" i="1"/>
  <c r="BW13" i="1"/>
  <c r="BW12" i="1"/>
  <c r="BW4" i="1"/>
  <c r="BR4" i="1"/>
  <c r="BR22" i="1"/>
  <c r="BR20" i="1"/>
  <c r="BR19" i="1"/>
  <c r="BR17" i="1"/>
  <c r="BR15" i="1"/>
  <c r="BR13" i="1"/>
  <c r="BR12" i="1"/>
</calcChain>
</file>

<file path=xl/sharedStrings.xml><?xml version="1.0" encoding="utf-8"?>
<sst xmlns="http://schemas.openxmlformats.org/spreadsheetml/2006/main" count="4143" uniqueCount="1069">
  <si>
    <t>Testing ID</t>
  </si>
  <si>
    <t>Experimenters</t>
  </si>
  <si>
    <t>Protocol (1-8)</t>
  </si>
  <si>
    <t>Column1</t>
  </si>
  <si>
    <t>Date</t>
  </si>
  <si>
    <t>Age</t>
  </si>
  <si>
    <t>MTU, JBU, SGA</t>
  </si>
  <si>
    <t>9 M 26 T</t>
  </si>
  <si>
    <t>MTU, JBU, SGA, JOT</t>
  </si>
  <si>
    <t>9 M 28 T</t>
  </si>
  <si>
    <t>MTU, JOT, SGA</t>
  </si>
  <si>
    <t>9 M 17 T</t>
  </si>
  <si>
    <t>MTU, JOT, LNE, JBU</t>
  </si>
  <si>
    <t>JOT, SGA, JBU</t>
  </si>
  <si>
    <t>10 M 0 T</t>
  </si>
  <si>
    <t>JOT, LNE, JBU</t>
  </si>
  <si>
    <t>10 M 1 T</t>
  </si>
  <si>
    <t>10 M 3 T</t>
  </si>
  <si>
    <t>10 M 6 T</t>
  </si>
  <si>
    <t>9 M 15 T</t>
  </si>
  <si>
    <t>MTU, SGA, JOT</t>
  </si>
  <si>
    <t>SGA, LNE, JBU</t>
  </si>
  <si>
    <t>SGA, LNE, JBU, JOT</t>
  </si>
  <si>
    <t>9 M 19 T</t>
  </si>
  <si>
    <t>JBU, LNE, JOT, MSC</t>
  </si>
  <si>
    <t>9 M 18 T</t>
  </si>
  <si>
    <t>JOT, SGA, MVA, JBU</t>
  </si>
  <si>
    <t>9 M 27 T</t>
  </si>
  <si>
    <t>JOT, SGA, MVA</t>
  </si>
  <si>
    <t>9 M 12 T</t>
  </si>
  <si>
    <t>MTU, LNE, JBU</t>
  </si>
  <si>
    <t>MVI, SGA, JBU</t>
  </si>
  <si>
    <t>9 M 16 T</t>
  </si>
  <si>
    <t>JBU, LNE, MVA</t>
  </si>
  <si>
    <t>MTU, LNE, SGA</t>
  </si>
  <si>
    <t>JBU, MVA, SGA</t>
  </si>
  <si>
    <t>MVA, LNE, JBU</t>
  </si>
  <si>
    <t>JOT; LNE; JBU</t>
  </si>
  <si>
    <t>JBU, SGA, JOT</t>
  </si>
  <si>
    <t>changed order due to tech problems (ibeat, chair, WP3, hammer, language, ibreath</t>
  </si>
  <si>
    <t>Language paradigm</t>
  </si>
  <si>
    <t>Volume at 65-70 dB?</t>
  </si>
  <si>
    <t>Front camera recording language</t>
  </si>
  <si>
    <t>Comments Language</t>
  </si>
  <si>
    <t>tech problems at beginnin, BKBIC</t>
  </si>
  <si>
    <t>cannot read this</t>
  </si>
  <si>
    <t>did not show signal on eyelink PC but seemed to work --&gt; realised it did not work</t>
  </si>
  <si>
    <t>mom speaks Russian and French at home with baby, in test phase eyetracking did not work, tech problems during caloibration</t>
  </si>
  <si>
    <t>no eye-tracking signals in testing phase?</t>
  </si>
  <si>
    <t>eye-tracking signal lost in between for short period</t>
  </si>
  <si>
    <t>had to restart calibration sometimes, was fine in the end. Eyes were not detected at beginning</t>
  </si>
  <si>
    <t>baby already a bit sleepy</t>
  </si>
  <si>
    <t>we pressed enter during eyetracking setup (to fixate eye), but the program always crashes after this</t>
  </si>
  <si>
    <t>baby was super tired; no front video b/c no storage</t>
  </si>
  <si>
    <t>problems during calibration (eyes lost); baby started crying in the end</t>
  </si>
  <si>
    <t>video from behind started little late; child's mother language is NOT German</t>
  </si>
  <si>
    <t>baby was very upset in carseat but could be distracted, sometimes feet in front of camera</t>
  </si>
  <si>
    <t>lower volume first</t>
  </si>
  <si>
    <t>we did this instead of interoception tasks in beginning</t>
  </si>
  <si>
    <t>problems with (cannot read)</t>
  </si>
  <si>
    <t>mom sometimes pointed at screen</t>
  </si>
  <si>
    <t>very bad calibration</t>
  </si>
  <si>
    <t>calibration took quite long, no recording with Mangold camera in the beginning, mother sat too close, baby held toy</t>
  </si>
  <si>
    <t>right eye or both eyes sometimes lost, baby moved a lot and mom took it out of chair close to the end and put it back</t>
  </si>
  <si>
    <t>WP3</t>
  </si>
  <si>
    <t>Duration w/o toys</t>
  </si>
  <si>
    <t>Duration w toys</t>
  </si>
  <si>
    <t>Chair, maxicosi or lap?</t>
  </si>
  <si>
    <t>Video recordings WP3</t>
  </si>
  <si>
    <t>Headsize/capsize mom</t>
  </si>
  <si>
    <t>Headsize/capsize infant</t>
  </si>
  <si>
    <t>fNIRS mom WP3</t>
  </si>
  <si>
    <t>fNIRS baby WP3</t>
  </si>
  <si>
    <t>Smarting ECG mom WP3</t>
  </si>
  <si>
    <t>Smarting ECG baby WP3</t>
  </si>
  <si>
    <t>Comments WP3</t>
  </si>
  <si>
    <t>not visible very well in NIRStar</t>
  </si>
  <si>
    <t>mother sitting on the floor for both conditions, w toys aborted after 4 minutes</t>
  </si>
  <si>
    <t>baby in chair, mother on floor</t>
  </si>
  <si>
    <t>not visible</t>
  </si>
  <si>
    <t>good (baby better than mom)</t>
  </si>
  <si>
    <t>w/o toys aborted 10s earlier because baby started crying, mom did not sit on chair but on floor closer to baby, toys: our doll &amp; rattle</t>
  </si>
  <si>
    <t>chair</t>
  </si>
  <si>
    <t>mask just pulled down</t>
  </si>
  <si>
    <t>mom's fNIRS signal bad due to braids; toys were missing/became boring so we got mom new ones during task</t>
  </si>
  <si>
    <t>chair?</t>
  </si>
  <si>
    <t>2?</t>
  </si>
  <si>
    <t>no pause of videos between trials, too fast</t>
  </si>
  <si>
    <t>approx. 03:00</t>
  </si>
  <si>
    <t>lap</t>
  </si>
  <si>
    <t>baby very unhappy about cap</t>
  </si>
  <si>
    <t>1; one side missing</t>
  </si>
  <si>
    <t>they used normal things such as hair tie &amp; schnuller; did not really use toys, except ball in the end</t>
  </si>
  <si>
    <t>mom inverted ecg signal; mom was holding toys in first condition, but not using them; issue with smarting after 2. condition</t>
  </si>
  <si>
    <t>chair, during toys condition on lap</t>
  </si>
  <si>
    <t>baby did not like chair; got food and was more quiet; held waffle during experiment</t>
  </si>
  <si>
    <t>fNIRS took long to detect baby signal</t>
  </si>
  <si>
    <t>fNIRS baby not sitting properly</t>
  </si>
  <si>
    <t>around 04:00:00?</t>
  </si>
  <si>
    <t>chair and lap during w toys</t>
  </si>
  <si>
    <t>some tech problems that could be fixed by restarting Matlab, camera position not ideal (mom's head sometimes covered baby's face and vice versa), baby was crying a lot (especially w toys condition), mom took it out of chair to calm baby</t>
  </si>
  <si>
    <t>only one fnirs visible</t>
  </si>
  <si>
    <t>baby one electrode detected</t>
  </si>
  <si>
    <t>bad signal baby (CAN'T READ); no signal</t>
  </si>
  <si>
    <t>mother would have needed smaller fNIRS cap; longer pause in between two conditions</t>
  </si>
  <si>
    <t>55/54</t>
  </si>
  <si>
    <t>46/46</t>
  </si>
  <si>
    <t>mother asked 2 questions during experiment</t>
  </si>
  <si>
    <t>?</t>
  </si>
  <si>
    <t>?/44</t>
  </si>
  <si>
    <t>had to stop no toys condition early; baby ripped fnirs cap in toys condition; baby had a lot of hair</t>
  </si>
  <si>
    <t>57/56</t>
  </si>
  <si>
    <t>48/46</t>
  </si>
  <si>
    <t>had to give mother toy during with toys condition</t>
  </si>
  <si>
    <t xml:space="preserve">sometimes mother ecg signal lost, baby started crying at around 4:50 </t>
  </si>
  <si>
    <t>chair and lap for 1 minute in without toys condition</t>
  </si>
  <si>
    <t>54/54</t>
  </si>
  <si>
    <t>43,5/44</t>
  </si>
  <si>
    <t>started cryign after 1:30, took break in between conditions</t>
  </si>
  <si>
    <t>47/46</t>
  </si>
  <si>
    <t>baby got upset around 2:15 of wo toys, both dark hair, quick prep due to fNIRS problems, matlab started too early (first sec no play), used toys: soft lion, doll, ball</t>
  </si>
  <si>
    <t>EDF file</t>
  </si>
  <si>
    <t>yes (for each trial)</t>
  </si>
  <si>
    <t>Stimuli</t>
  </si>
  <si>
    <t>Austrian</t>
  </si>
  <si>
    <t>German</t>
  </si>
  <si>
    <t>no</t>
  </si>
  <si>
    <t xml:space="preserve">yes </t>
  </si>
  <si>
    <t>no (neither csv)</t>
  </si>
  <si>
    <t>yes</t>
  </si>
  <si>
    <t>no (yes but weird)</t>
  </si>
  <si>
    <t>Maxicosi (0) or lap (1)</t>
  </si>
  <si>
    <t>Calibration (2=good)</t>
  </si>
  <si>
    <t>yes?</t>
  </si>
  <si>
    <t xml:space="preserve">Drop out </t>
  </si>
  <si>
    <t>Reason</t>
  </si>
  <si>
    <t>tech problems</t>
  </si>
  <si>
    <t>Additional comments</t>
  </si>
  <si>
    <t>mum touches the baby trial from 6 to 12</t>
  </si>
  <si>
    <t>mum touches the baby</t>
  </si>
  <si>
    <t>baby plays a lot with her pacifier</t>
  </si>
  <si>
    <t>baby very attentive, no distractions</t>
  </si>
  <si>
    <t>baby distracted by seatbelt. During testing he turns to the mum, who touches her baby</t>
  </si>
  <si>
    <t>fussy from trial #5</t>
  </si>
  <si>
    <t>baby very active during fam, distracted by pacifier during testing</t>
  </si>
  <si>
    <t>mum touches/distract the baby from trial #4</t>
  </si>
  <si>
    <t xml:space="preserve">mum touches baby trial #3 + baby distracted by car seat </t>
  </si>
  <si>
    <t>mum pointed the screen/talks with the baby/touches the baby</t>
  </si>
  <si>
    <t>MTU, JBU, JOT</t>
  </si>
  <si>
    <t>changed order bc baby was fuzzy (iBREATH between WP3 and empathy part 2)</t>
  </si>
  <si>
    <t>MVA, JBU, SGA</t>
  </si>
  <si>
    <t>baby too fuzzy</t>
  </si>
  <si>
    <t>unfortunately only one familiarization phase so unusable</t>
  </si>
  <si>
    <t>chair but sometimes put out by mom when baby was crying</t>
  </si>
  <si>
    <t>did not measure bc fNIRS sent in</t>
  </si>
  <si>
    <t>45/44</t>
  </si>
  <si>
    <t>only baby fNIRS</t>
  </si>
  <si>
    <t>used many different toys</t>
  </si>
  <si>
    <t>yes (7 trials)</t>
  </si>
  <si>
    <t>Min 6 trials? Postrating</t>
  </si>
  <si>
    <t>Min 6 trials? Prerating</t>
  </si>
  <si>
    <t>n/a</t>
  </si>
  <si>
    <t>fussy from trial #7. Pacifier all testing</t>
  </si>
  <si>
    <t>missing min requirement</t>
  </si>
  <si>
    <t>yes (1 trial)</t>
  </si>
  <si>
    <t>Priority in video coding? (reason in orange)</t>
  </si>
  <si>
    <t>no task</t>
  </si>
  <si>
    <t>yes (12 trials)</t>
  </si>
  <si>
    <t>no (yes but incorrect)</t>
  </si>
  <si>
    <t>JBU, SGA, LNE</t>
  </si>
  <si>
    <t>9 M 20T</t>
  </si>
  <si>
    <t>mother touched baby at one point because she was crying</t>
  </si>
  <si>
    <t>44,5/44</t>
  </si>
  <si>
    <t>used many different toys, mother ecg signal was sometimes quite bad</t>
  </si>
  <si>
    <t>Pacifier</t>
  </si>
  <si>
    <t>check stationary camera</t>
  </si>
  <si>
    <t>yes (4 trials)</t>
  </si>
  <si>
    <t>Mother interacts and baby reacts</t>
  </si>
  <si>
    <t>NEW FRONT CAMERA; NEW SCRIPT</t>
  </si>
  <si>
    <t>CSV file</t>
  </si>
  <si>
    <t>no (pacifier)</t>
  </si>
  <si>
    <t>LIV</t>
  </si>
  <si>
    <t>JOT, MVA, SGA</t>
  </si>
  <si>
    <t>changed order (iBREATH, CRC, iBEAT, empathy 2, language; no WP3 &amp; empathy 1)</t>
  </si>
  <si>
    <t>10 M 12 T</t>
  </si>
  <si>
    <t>MTU, LNE, JOT</t>
  </si>
  <si>
    <t>changed order (iBREAThH first by mistake, then CRC, empathy 1, WP3, empathy 2, languae; no iBEAT)</t>
  </si>
  <si>
    <t>tech problems during calibration, fine in the end</t>
  </si>
  <si>
    <t>did not measure</t>
  </si>
  <si>
    <t>no fnirs</t>
  </si>
  <si>
    <t>had to remove fnirs cap</t>
  </si>
  <si>
    <t>NO WP3</t>
  </si>
  <si>
    <t>10 M 7 T</t>
  </si>
  <si>
    <t>calibration did not work</t>
  </si>
  <si>
    <t>baby cried a lot in without toys condition. took break in between. started toys condition with food, mother changed to other toys as well</t>
  </si>
  <si>
    <t>MVA, SGA, JBU</t>
  </si>
  <si>
    <t>9 M 22 T</t>
  </si>
  <si>
    <t>started camera recording of front camera late</t>
  </si>
  <si>
    <t>very fussy</t>
  </si>
  <si>
    <t>Gender</t>
  </si>
  <si>
    <t>male</t>
  </si>
  <si>
    <t>female</t>
  </si>
  <si>
    <t>other</t>
  </si>
  <si>
    <t>9 M 5 T</t>
  </si>
  <si>
    <t>slightly fussy</t>
  </si>
  <si>
    <t>cried a lot and we had to abort no toys condition early. Maybe the nirs data did not record in toys condition</t>
  </si>
  <si>
    <t>10 M 10 T</t>
  </si>
  <si>
    <t>turned around to mother a lot, mother held hand during experiment, no talking</t>
  </si>
  <si>
    <t>shorter</t>
  </si>
  <si>
    <t>chair &amp; mother held it</t>
  </si>
  <si>
    <t>56/56</t>
  </si>
  <si>
    <t>44/44</t>
  </si>
  <si>
    <t>cried a lot</t>
  </si>
  <si>
    <t>BABY CRIES</t>
  </si>
  <si>
    <t>9 M 4 T</t>
  </si>
  <si>
    <t>NIRx started to record a little late, but lab recorder and smarting were already streaming, so should not affect data</t>
  </si>
  <si>
    <t>female?</t>
  </si>
  <si>
    <t>JBU, LNE</t>
  </si>
  <si>
    <t>JBU, SGA</t>
  </si>
  <si>
    <t>baby moved a lot throughout experiment, sat on mother's lap, we had to skip through a lot</t>
  </si>
  <si>
    <t>baby cried</t>
  </si>
  <si>
    <t>no signal baby fnirs</t>
  </si>
  <si>
    <t>no fnirs signal baby; baby cried in wotoys condition but mother was able to calm down</t>
  </si>
  <si>
    <t>48/48</t>
  </si>
  <si>
    <t>baby cried a lot</t>
  </si>
  <si>
    <t>yes (during fam phase)</t>
  </si>
  <si>
    <t>data fnirs subj 1 (baby)</t>
  </si>
  <si>
    <t>data fnirs subj 2 (mom)</t>
  </si>
  <si>
    <t>LNE, JBU</t>
  </si>
  <si>
    <t>changed order bc too many eyetracking experiments</t>
  </si>
  <si>
    <t>MVA, JBU, LNE</t>
  </si>
  <si>
    <t>MTU, JBU, LNE</t>
  </si>
  <si>
    <t>MTU, SGA, LNE</t>
  </si>
  <si>
    <t>MVA, JBU, FWI</t>
  </si>
  <si>
    <t>9 M 23 T</t>
  </si>
  <si>
    <t>calibration did not work even after trying it 5 times</t>
  </si>
  <si>
    <t>mother speaks Polish and English, father speaks german</t>
  </si>
  <si>
    <t>baby chair</t>
  </si>
  <si>
    <t>little bit shorter</t>
  </si>
  <si>
    <t>no baby fnirs</t>
  </si>
  <si>
    <t>baby sometimes on mothers lap in wotoys, during toys condition only lap</t>
  </si>
  <si>
    <t>maxicosi</t>
  </si>
  <si>
    <t>50,5/48</t>
  </si>
  <si>
    <t>tandem mode not possible (only baby device recorded). Baby cap removed after 3 min WT</t>
  </si>
  <si>
    <t>mother keeps her in the maxicosi</t>
  </si>
  <si>
    <t>no white camera</t>
  </si>
  <si>
    <t>no? (mum touches baby's hand with rhythm test phase)</t>
  </si>
  <si>
    <t>no?</t>
  </si>
  <si>
    <t>unclear, multiple files</t>
  </si>
  <si>
    <t>JBU, LNE, FWI</t>
  </si>
  <si>
    <t>MVA, SGA, ABO</t>
  </si>
  <si>
    <t>10 M 4 T</t>
  </si>
  <si>
    <t>changed order because baby did not like eyetracking in the beginning. did language after wp3 &amp; empathy</t>
  </si>
  <si>
    <t>10 M 9 T</t>
  </si>
  <si>
    <t>started front recording late but calibration great</t>
  </si>
  <si>
    <t>chair wp3</t>
  </si>
  <si>
    <t>white camera recording started bit late</t>
  </si>
  <si>
    <t>only one NIRS visible (probably mother NIRS? Lower NIRS)</t>
  </si>
  <si>
    <t>58/58</t>
  </si>
  <si>
    <t>49/48</t>
  </si>
  <si>
    <t>child in chair wotoys, toys condition child on lap; ecg data recorded only with labrecorder</t>
  </si>
  <si>
    <t>JBU, LNE, LTR</t>
  </si>
  <si>
    <t>10 M 11 T</t>
  </si>
  <si>
    <t>they did not use many toys in toys condition</t>
  </si>
  <si>
    <t>calibration bad; even if the baby was looking at the screen it stopped/did not record</t>
  </si>
  <si>
    <t>without toys</t>
  </si>
  <si>
    <t>ch 0</t>
  </si>
  <si>
    <t>ch 1</t>
  </si>
  <si>
    <t>ch 2</t>
  </si>
  <si>
    <t>with toys</t>
  </si>
  <si>
    <t>ECG 1</t>
  </si>
  <si>
    <t>ECG 2</t>
  </si>
  <si>
    <t>ok</t>
  </si>
  <si>
    <t>bad</t>
  </si>
  <si>
    <t>MVA; LNE; SGA</t>
  </si>
  <si>
    <t>JBU, ABO, FWI</t>
  </si>
  <si>
    <t>MTU, LNE, LTR</t>
  </si>
  <si>
    <t>MTU, LTR, JBU</t>
  </si>
  <si>
    <t>MTU, SGA, ABO</t>
  </si>
  <si>
    <t>10M 1T</t>
  </si>
  <si>
    <t>JBU, SGA, LTR</t>
  </si>
  <si>
    <t>10 M 4 D</t>
  </si>
  <si>
    <t>MVA; JBU; FWI</t>
  </si>
  <si>
    <t>10 M 2 D</t>
  </si>
  <si>
    <t>MVA; LNE; FWI</t>
  </si>
  <si>
    <t>MVA; LTR; SGA</t>
  </si>
  <si>
    <t>chair &amp; mother held him</t>
  </si>
  <si>
    <t>During wot session, baby removed his fnirs cap at the beginning. Breastfeeding between conditions. In the wt condition, no baby fnirs and mother's ecg data not good.</t>
  </si>
  <si>
    <t>calibration was a mess at first</t>
  </si>
  <si>
    <t>Bad ecg signal; ecg signal baby gone in toys condition; streamer crashed? we also have two different videos for wp3</t>
  </si>
  <si>
    <t>bad ecg signal mom, fnirst cap shifted to the top baby</t>
  </si>
  <si>
    <t>chair &amp; mother's lap</t>
  </si>
  <si>
    <t>58/56</t>
  </si>
  <si>
    <t>fnirs with toys: cap moved, sognal bad</t>
  </si>
  <si>
    <t>mum asked early interruption. EDF file is missing</t>
  </si>
  <si>
    <t>45/46</t>
  </si>
  <si>
    <t>named both 1 and 1</t>
  </si>
  <si>
    <t>0 (no signal)</t>
  </si>
  <si>
    <t>no video in with toys condition. No fnirs data recorded</t>
  </si>
  <si>
    <t>no (but thumb)</t>
  </si>
  <si>
    <t>mum gives food to the baby during fam phase. Then baby bends over and from there on eyes badly tracked</t>
  </si>
  <si>
    <t>Affect</t>
  </si>
  <si>
    <t>Vocalizations</t>
  </si>
  <si>
    <t>Touch</t>
  </si>
  <si>
    <t>Gaze</t>
  </si>
  <si>
    <t>wot</t>
  </si>
  <si>
    <t>wt</t>
  </si>
  <si>
    <t>LIV, MVA</t>
  </si>
  <si>
    <t>LHA</t>
  </si>
  <si>
    <t>LHA; CME</t>
  </si>
  <si>
    <t>JOT</t>
  </si>
  <si>
    <t>LHA, JOT</t>
  </si>
  <si>
    <t>LHA; JOT</t>
  </si>
  <si>
    <t>SGA</t>
  </si>
  <si>
    <t>SGA, JBU</t>
  </si>
  <si>
    <t>MTU;ABO;LTR</t>
  </si>
  <si>
    <t>MTU; ABO; LNE</t>
  </si>
  <si>
    <t>MVA; LTR</t>
  </si>
  <si>
    <t>MVA; FWI; JBU</t>
  </si>
  <si>
    <t>ABO,JBU,LTR</t>
  </si>
  <si>
    <t>JBU, MTU, FWI</t>
  </si>
  <si>
    <t>MVA; FWI</t>
  </si>
  <si>
    <t>JBU, SGA, CDO</t>
  </si>
  <si>
    <t>JBU, LTR, ABO</t>
  </si>
  <si>
    <t>LTR, JBU</t>
  </si>
  <si>
    <t xml:space="preserve">10 M 14 T </t>
  </si>
  <si>
    <t>10M11T</t>
  </si>
  <si>
    <t>10M 5T</t>
  </si>
  <si>
    <t>9M 3T</t>
  </si>
  <si>
    <t>10M 15 T</t>
  </si>
  <si>
    <t>9 M 30 T</t>
  </si>
  <si>
    <t>9 M 21 T</t>
  </si>
  <si>
    <t>data not uploaded yet bc of power cuts</t>
  </si>
  <si>
    <t>video from camera started a bit late</t>
  </si>
  <si>
    <t>sticker was removed few times, eyetracking not perfect</t>
  </si>
  <si>
    <t>1 (but interrupted during fam phase)</t>
  </si>
  <si>
    <t>no AC, turned off light in between some conditions as sticker was not able to be detected anymore</t>
  </si>
  <si>
    <t>matlab did not work</t>
  </si>
  <si>
    <t>ended earlier</t>
  </si>
  <si>
    <t>in the wtoys, ecg mum (1). Lost an electrode</t>
  </si>
  <si>
    <t>43/44</t>
  </si>
  <si>
    <t>without toys (02:17); fnirs wtoys mom (1) infant (2). Baby had a pause/took a nap and ate in between wotoys + wtoys</t>
  </si>
  <si>
    <t>approx 2 minutes</t>
  </si>
  <si>
    <t>babz chair</t>
  </si>
  <si>
    <t>without toys video started a bit late, after trigger, baby became fussy early and we had to stop</t>
  </si>
  <si>
    <t>baby on mother's lap</t>
  </si>
  <si>
    <t>earlier</t>
  </si>
  <si>
    <t>no ecg data, no fnirs data</t>
  </si>
  <si>
    <t>59/56</t>
  </si>
  <si>
    <t>REMEMBER TO EXCLUDE TRIAL 11 (bad calib)</t>
  </si>
  <si>
    <t>NO</t>
  </si>
  <si>
    <t>bad calibration</t>
  </si>
  <si>
    <t>REMEMBER TO EXCLUDE 2 TRIALS</t>
  </si>
  <si>
    <t>no white camera; difficult to check calibration</t>
  </si>
  <si>
    <t>REMEMBER TO EXCLUDE % TRIALS</t>
  </si>
  <si>
    <t>not clear</t>
  </si>
  <si>
    <t>best, flipped?</t>
  </si>
  <si>
    <t>best</t>
  </si>
  <si>
    <t>best, flipped</t>
  </si>
  <si>
    <t>ok, flipped</t>
  </si>
  <si>
    <t>bad, flipped</t>
  </si>
  <si>
    <t xml:space="preserve">ok, flipped </t>
  </si>
  <si>
    <t>missing</t>
  </si>
  <si>
    <t>ECG 1 (mum)</t>
  </si>
  <si>
    <t>ECG 2 (baby)</t>
  </si>
  <si>
    <t>MTU, JBU</t>
  </si>
  <si>
    <t>MTU, CDO, LTR</t>
  </si>
  <si>
    <t>ABO, CDO</t>
  </si>
  <si>
    <t>MTU; ABO; LTR</t>
  </si>
  <si>
    <t>MVA,ABO,CDO</t>
  </si>
  <si>
    <t>JBU; LTR</t>
  </si>
  <si>
    <t>10 M 5 T</t>
  </si>
  <si>
    <t>10 5 T</t>
  </si>
  <si>
    <t>10M9D</t>
  </si>
  <si>
    <t>problems with calibration</t>
  </si>
  <si>
    <t xml:space="preserve">baby got fussy, we had to discontinue </t>
  </si>
  <si>
    <t>baby cap moved to the back during exp</t>
  </si>
  <si>
    <t>issue with LSL trigger, no fNIRS recording</t>
  </si>
  <si>
    <t>started twice (without toys)</t>
  </si>
  <si>
    <t>no fnirs baby, no ecg mum</t>
  </si>
  <si>
    <t>baby chair w/o toys, white chair w toys</t>
  </si>
  <si>
    <t>no fnirs signal baby; baby didn't like the babychair, white chair instead</t>
  </si>
  <si>
    <t>mum distracted with the phone. Baby looks for her</t>
  </si>
  <si>
    <t>REMEMBER TO EXCLUDE 3 TRIALS</t>
  </si>
  <si>
    <t>best (interesting pattern)</t>
  </si>
  <si>
    <t>MVA; CDO</t>
  </si>
  <si>
    <t>9M25T</t>
  </si>
  <si>
    <t>MTU; LNE; LTR</t>
  </si>
  <si>
    <t>9M 27T</t>
  </si>
  <si>
    <t>SGA; LTR</t>
  </si>
  <si>
    <t>data not uploaded</t>
  </si>
  <si>
    <t>MVA; LNE</t>
  </si>
  <si>
    <t>MTU, SGA</t>
  </si>
  <si>
    <t>FWI, LTR</t>
  </si>
  <si>
    <t>9M 26 T</t>
  </si>
  <si>
    <t>MTU; LTR</t>
  </si>
  <si>
    <t>9M 9T</t>
  </si>
  <si>
    <t>9M 13 T</t>
  </si>
  <si>
    <t>MTU; FWI</t>
  </si>
  <si>
    <t>9M 20T</t>
  </si>
  <si>
    <t>FWI, ABO</t>
  </si>
  <si>
    <t>data from Mangold not uploaded</t>
  </si>
  <si>
    <t>9M 23T</t>
  </si>
  <si>
    <t>FWI; NPO; LTR</t>
  </si>
  <si>
    <t>9M 21T</t>
  </si>
  <si>
    <t>no edf file</t>
  </si>
  <si>
    <t>baby cried a lot during familiarization phase, aborted</t>
  </si>
  <si>
    <t>ended earlie because baby cried a lot</t>
  </si>
  <si>
    <t>no cap</t>
  </si>
  <si>
    <t>43/42</t>
  </si>
  <si>
    <t>with out toys ended a bit earlier, baby got fussy</t>
  </si>
  <si>
    <t>baby lost electrode in the end of with out toys; ECG/Smarting stopped recording after one minute, program has become stuck</t>
  </si>
  <si>
    <t>approx 1 min</t>
  </si>
  <si>
    <t>less than 3 min</t>
  </si>
  <si>
    <t>baby fussy</t>
  </si>
  <si>
    <t>wotoys: baby cried d, stopped earlier, mother wanted a break inbetween the conditions and left the room for that, smarting got stuck after 3 min</t>
  </si>
  <si>
    <t xml:space="preserve">baby didn't like to sit in the chair, wotoys: baby had food, </t>
  </si>
  <si>
    <t>baby chair/lap</t>
  </si>
  <si>
    <t>with toys: mother took baby out of the chair after 3 min</t>
  </si>
  <si>
    <t>yes (at the end during trials &lt; 1 sec)</t>
  </si>
  <si>
    <t>baby fussy in the last 3 trials</t>
  </si>
  <si>
    <t>no edf file; baby cried so aborted trial 12</t>
  </si>
  <si>
    <t>very fussy/missing min requir</t>
  </si>
  <si>
    <t>SEL</t>
  </si>
  <si>
    <t>no data</t>
  </si>
  <si>
    <t>ok (no signal at the beginning), flipped</t>
  </si>
  <si>
    <t>ok (some parts)</t>
  </si>
  <si>
    <t>ok (flipped; some parts)</t>
  </si>
  <si>
    <t>best (flipped)</t>
  </si>
  <si>
    <t>best(flipped)</t>
  </si>
  <si>
    <t>no .nirs and nosatflags files</t>
  </si>
  <si>
    <t>no .nirs and nosatflags files, error text files ("Error, SystemInfo,TaskList")</t>
  </si>
  <si>
    <t>error text files ("Error, SystemInfo,TaskList")</t>
  </si>
  <si>
    <t>similar</t>
  </si>
  <si>
    <t>CDO; LTR</t>
  </si>
  <si>
    <t>9M 26T</t>
  </si>
  <si>
    <t>10M 3T</t>
  </si>
  <si>
    <t>MTU, CDO, FWI</t>
  </si>
  <si>
    <t>ABO, LTR. GJO</t>
  </si>
  <si>
    <t>9M20T</t>
  </si>
  <si>
    <t>had to abort</t>
  </si>
  <si>
    <t>white camera connection lost for a few seconds towards endq</t>
  </si>
  <si>
    <t>1 (at 00:46 for the wot condition)</t>
  </si>
  <si>
    <t>no fnirs data recorded</t>
  </si>
  <si>
    <t>late start for Smarting recording during wo toys, no fNIRS baby</t>
  </si>
  <si>
    <t>very fussy/aborted during fam phase</t>
  </si>
  <si>
    <t>ok (flipped)</t>
  </si>
  <si>
    <t>like 0</t>
  </si>
  <si>
    <t>tech problems (1 text passages was skipped)</t>
  </si>
  <si>
    <t>interrupted at the end of fam phase because she was crying</t>
  </si>
  <si>
    <t>ABO; FWI; LTR</t>
  </si>
  <si>
    <t xml:space="preserve">at some point baby moved </t>
  </si>
  <si>
    <t>not sure</t>
  </si>
  <si>
    <t xml:space="preserve">stopped for feeding </t>
  </si>
  <si>
    <t>Gender (1=m, 2=f)</t>
  </si>
  <si>
    <t>Age in Days</t>
  </si>
  <si>
    <t>10 M 6 D</t>
  </si>
  <si>
    <t>9 M 12 D</t>
  </si>
  <si>
    <t>10 M 5 D</t>
  </si>
  <si>
    <t>9 M 25 D</t>
  </si>
  <si>
    <t>9 M 24 D</t>
  </si>
  <si>
    <t>9M 11D</t>
  </si>
  <si>
    <t>9M 9D</t>
  </si>
  <si>
    <t>9M16D</t>
  </si>
  <si>
    <t>???</t>
  </si>
  <si>
    <t>9M 27D</t>
  </si>
  <si>
    <t>baby on mother's lap, mother not speaking much, mostly whispering</t>
  </si>
  <si>
    <t>GFR</t>
  </si>
  <si>
    <t>RSA sync without toys</t>
  </si>
  <si>
    <t>RSA sync with toys</t>
  </si>
  <si>
    <t>pacifier from trial 7/16; from there on eyes not well detected -&gt; missing min req</t>
  </si>
  <si>
    <t>1 minute of bell sound during fam</t>
  </si>
  <si>
    <t>HMA</t>
  </si>
  <si>
    <t>no videos</t>
  </si>
  <si>
    <t>GFR, MVA</t>
  </si>
  <si>
    <t>MVA</t>
  </si>
  <si>
    <t>SEL; HMA</t>
  </si>
  <si>
    <t>SEL; ABO; mva</t>
  </si>
  <si>
    <t>1 (old)</t>
  </si>
  <si>
    <t>1J 7M; 5T</t>
  </si>
  <si>
    <t>3 (old)</t>
  </si>
  <si>
    <t>1J 6M 27 T</t>
  </si>
  <si>
    <t>MVA, CDO</t>
  </si>
  <si>
    <t>2 (old)</t>
  </si>
  <si>
    <t>13/07/2021</t>
  </si>
  <si>
    <t>MVA; CDO; LTR</t>
  </si>
  <si>
    <t>4 (old)</t>
  </si>
  <si>
    <t>1J 6M 24T</t>
  </si>
  <si>
    <t>MTU, LTR</t>
  </si>
  <si>
    <t>5 (old)</t>
  </si>
  <si>
    <t>1J 7M 12 T</t>
  </si>
  <si>
    <t>MTU, CDO</t>
  </si>
  <si>
    <t>6 (old)</t>
  </si>
  <si>
    <t>1J 7M 0T</t>
  </si>
  <si>
    <t>ABO, JBU, SGA</t>
  </si>
  <si>
    <t>7 (old)</t>
  </si>
  <si>
    <t>1J 7M 11T</t>
  </si>
  <si>
    <t>MTU, LNE</t>
  </si>
  <si>
    <t>8 (old)</t>
  </si>
  <si>
    <t>ABO,CDO,FWI</t>
  </si>
  <si>
    <t>1J7M14D</t>
  </si>
  <si>
    <t>MVA; CDO; FWI</t>
  </si>
  <si>
    <t>2 (due to lan connection problem the order was: emp 1;wp3;emp2;emosense;ibeat;crc;ibreath)</t>
  </si>
  <si>
    <t>1J7M4D</t>
  </si>
  <si>
    <t>MTU, CDO, GJO</t>
  </si>
  <si>
    <t>MVA;FWI;CDO</t>
  </si>
  <si>
    <t>1J7M13T</t>
  </si>
  <si>
    <t>MTU; CDO; LTR</t>
  </si>
  <si>
    <t>1J 6M 10T</t>
  </si>
  <si>
    <t>MVA;LTR;FWI</t>
  </si>
  <si>
    <t>Steffi's colleague was there to see dual fnirs; so we decided to use protocol 4 which has wp3 at the beginning</t>
  </si>
  <si>
    <t>1J 7M13T</t>
  </si>
  <si>
    <t>MVA;LTR;NMA</t>
  </si>
  <si>
    <t>1J 6M3T</t>
  </si>
  <si>
    <t>ABO, FWI, GJO</t>
  </si>
  <si>
    <t>1J6M23D</t>
  </si>
  <si>
    <t>ABO, LTR, MTU</t>
  </si>
  <si>
    <t>1J6M8D</t>
  </si>
  <si>
    <t>ABO, LTR, NMA</t>
  </si>
  <si>
    <t>to match 9m testing protocol 2</t>
  </si>
  <si>
    <t>14/5/2020</t>
  </si>
  <si>
    <t>1J6M2D</t>
  </si>
  <si>
    <t>MVA;LTR;GJO</t>
  </si>
  <si>
    <t>to match 9m testing protocol 7</t>
  </si>
  <si>
    <t>1J7M1D</t>
  </si>
  <si>
    <t>MVA,LTR,ABO</t>
  </si>
  <si>
    <t>to match 9m testing protocol 6+changed order</t>
  </si>
  <si>
    <t>1J7M11D</t>
  </si>
  <si>
    <t>MTU, NMA, FWI</t>
  </si>
  <si>
    <t>MVA; LTR; GJO</t>
  </si>
  <si>
    <t>1J6M26T</t>
  </si>
  <si>
    <t>MVA; NMA</t>
  </si>
  <si>
    <t>1J6M24T</t>
  </si>
  <si>
    <t>MTU; LTR; GJO</t>
  </si>
  <si>
    <t>MTU; ABO; GJO</t>
  </si>
  <si>
    <t>01/14/2022</t>
  </si>
  <si>
    <t>MVA; ABO</t>
  </si>
  <si>
    <t>1J6M15T</t>
  </si>
  <si>
    <t>ABO, GJO,RLU</t>
  </si>
  <si>
    <t xml:space="preserve">to match 9 month old experimenal order, emosense was done after empathy &amp; wp3 </t>
  </si>
  <si>
    <t>1J5M23D</t>
  </si>
  <si>
    <t>MVA; FWI; NMA</t>
  </si>
  <si>
    <t>1J7M1T</t>
  </si>
  <si>
    <t>MVA; RLU; HMA</t>
  </si>
  <si>
    <t>tech problems in the Lab</t>
  </si>
  <si>
    <t>NMA; LTR; RLU</t>
  </si>
  <si>
    <t>1J6M27D</t>
  </si>
  <si>
    <t>MTU; NMA; HMA</t>
  </si>
  <si>
    <t>1J7M4T</t>
  </si>
  <si>
    <t>NMA; GJO; HMA</t>
  </si>
  <si>
    <t>1J8M0T</t>
  </si>
  <si>
    <t>MTU, NMA, RLU</t>
  </si>
  <si>
    <t>ABO,RLU, LNE</t>
  </si>
  <si>
    <t>1J8M1D</t>
  </si>
  <si>
    <t>MVA, RLU, LTR</t>
  </si>
  <si>
    <t>21/03/2022</t>
  </si>
  <si>
    <t>1J4M13D</t>
  </si>
  <si>
    <t>Duration w book</t>
  </si>
  <si>
    <t>Duration w puzzle</t>
  </si>
  <si>
    <t>Chair, ikea or lap?</t>
  </si>
  <si>
    <t>ikea chair</t>
  </si>
  <si>
    <t>baby pull the optodes in the puzzle conditions</t>
  </si>
  <si>
    <t>/</t>
  </si>
  <si>
    <t>used book during puzzle task</t>
  </si>
  <si>
    <t>\</t>
  </si>
  <si>
    <t>pacifier</t>
  </si>
  <si>
    <t>56/57</t>
  </si>
  <si>
    <t>dad and baby had very good communication</t>
  </si>
  <si>
    <t>Chair</t>
  </si>
  <si>
    <t>-</t>
  </si>
  <si>
    <t>59/58</t>
  </si>
  <si>
    <t>wotoys - mum started using toy at some point</t>
  </si>
  <si>
    <t>Raupe Nimmersatt</t>
  </si>
  <si>
    <t>52/52</t>
  </si>
  <si>
    <t>removed baby fnirs</t>
  </si>
  <si>
    <t>wot baby was eating</t>
  </si>
  <si>
    <t>Rabbit book</t>
  </si>
  <si>
    <t>51/50</t>
  </si>
  <si>
    <t>in the without toys, no fnirs recorded</t>
  </si>
  <si>
    <t>no fNIRS and ECG infant</t>
  </si>
  <si>
    <t>no fNIRS, no ECG baby, puzzle task ended earlier (request by mum)</t>
  </si>
  <si>
    <t>No fNIRS on babz, had to stop the puzzle and book task early due to fussiness</t>
  </si>
  <si>
    <t>3 electrodes set up. Mother is pregnant.</t>
  </si>
  <si>
    <t>Jörg Mühle</t>
  </si>
  <si>
    <t>mum is pregnant</t>
  </si>
  <si>
    <t>no ecg</t>
  </si>
  <si>
    <t>both</t>
  </si>
  <si>
    <t>no rec</t>
  </si>
  <si>
    <t>problems with lan connection. Recording fnirs was not possible</t>
  </si>
  <si>
    <t>removed baby fnirs during puzzle</t>
  </si>
  <si>
    <t>no fnirs baby</t>
  </si>
  <si>
    <t>no ECG baby (issue with connection to smarting device)</t>
  </si>
  <si>
    <t>shorter than 2:30</t>
  </si>
  <si>
    <t>baby tried to get rid of the cap several times</t>
  </si>
  <si>
    <t>fNirs did not record; baby sat on mothers lap for task without toys; threw book &amp; puzzle around, a lot of energy</t>
  </si>
  <si>
    <t>after the without toys condition, infant got fussy; even after break we could not continue</t>
  </si>
  <si>
    <t>aborted</t>
  </si>
  <si>
    <t>baby with pacifier while reading book</t>
  </si>
  <si>
    <t>multiple files</t>
  </si>
  <si>
    <t>376/3</t>
  </si>
  <si>
    <t>570/21</t>
  </si>
  <si>
    <t>382/0</t>
  </si>
  <si>
    <t>426/0</t>
  </si>
  <si>
    <t>626/7</t>
  </si>
  <si>
    <t>633/7</t>
  </si>
  <si>
    <t>619/265</t>
  </si>
  <si>
    <t>1252/877</t>
  </si>
  <si>
    <t>506/0</t>
  </si>
  <si>
    <t>689/0</t>
  </si>
  <si>
    <t>585/0</t>
  </si>
  <si>
    <t>333/141</t>
  </si>
  <si>
    <t>495/17</t>
  </si>
  <si>
    <t>717/90</t>
  </si>
  <si>
    <t>326/65</t>
  </si>
  <si>
    <t>653/3</t>
  </si>
  <si>
    <t>total IBI/interpolated IBI</t>
  </si>
  <si>
    <t>317/13</t>
  </si>
  <si>
    <t>715/12</t>
  </si>
  <si>
    <t>307/5</t>
  </si>
  <si>
    <t>682/6</t>
  </si>
  <si>
    <t>352/0</t>
  </si>
  <si>
    <t>451/0</t>
  </si>
  <si>
    <t>559/0</t>
  </si>
  <si>
    <t>416/6</t>
  </si>
  <si>
    <t>601/0</t>
  </si>
  <si>
    <t>448/59</t>
  </si>
  <si>
    <t>644/0</t>
  </si>
  <si>
    <t>639/0</t>
  </si>
  <si>
    <t>676/0</t>
  </si>
  <si>
    <t>416/0</t>
  </si>
  <si>
    <t>609/0</t>
  </si>
  <si>
    <t>337/0</t>
  </si>
  <si>
    <t>633/70</t>
  </si>
  <si>
    <t>452/1</t>
  </si>
  <si>
    <t>671/545</t>
  </si>
  <si>
    <t>811/714</t>
  </si>
  <si>
    <t>723/171</t>
  </si>
  <si>
    <t>902/656</t>
  </si>
  <si>
    <t>841/313</t>
  </si>
  <si>
    <t>440/142</t>
  </si>
  <si>
    <t>678/0</t>
  </si>
  <si>
    <t>417/0</t>
  </si>
  <si>
    <t>444/1</t>
  </si>
  <si>
    <t>626/18</t>
  </si>
  <si>
    <t>390/30</t>
  </si>
  <si>
    <t>688/101</t>
  </si>
  <si>
    <t>390/0</t>
  </si>
  <si>
    <t>391/0</t>
  </si>
  <si>
    <t>685/0</t>
  </si>
  <si>
    <t>419/0</t>
  </si>
  <si>
    <t>633/14</t>
  </si>
  <si>
    <t>639/6</t>
  </si>
  <si>
    <t>470/8</t>
  </si>
  <si>
    <t>471/1</t>
  </si>
  <si>
    <t>444/23</t>
  </si>
  <si>
    <t>613/14</t>
  </si>
  <si>
    <t>426/80</t>
  </si>
  <si>
    <t>700/4</t>
  </si>
  <si>
    <t>407/18</t>
  </si>
  <si>
    <t>684/2</t>
  </si>
  <si>
    <t>355/11</t>
  </si>
  <si>
    <t>717/0</t>
  </si>
  <si>
    <t>437/3</t>
  </si>
  <si>
    <t>761/0</t>
  </si>
  <si>
    <t>441/184</t>
  </si>
  <si>
    <t>707/111</t>
  </si>
  <si>
    <t>379/18</t>
  </si>
  <si>
    <t>725/24</t>
  </si>
  <si>
    <t>377/12</t>
  </si>
  <si>
    <t>718/162</t>
  </si>
  <si>
    <t>414/6</t>
  </si>
  <si>
    <t>1013/620</t>
  </si>
  <si>
    <t>426/55</t>
  </si>
  <si>
    <t>697/11</t>
  </si>
  <si>
    <t>723/0</t>
  </si>
  <si>
    <t>122/0</t>
  </si>
  <si>
    <t>215/41</t>
  </si>
  <si>
    <t>368/68</t>
  </si>
  <si>
    <t>370/252</t>
  </si>
  <si>
    <t>681/0</t>
  </si>
  <si>
    <t>496/4</t>
  </si>
  <si>
    <t>396/95</t>
  </si>
  <si>
    <t>229/76</t>
  </si>
  <si>
    <t>391/12</t>
  </si>
  <si>
    <t>291/59</t>
  </si>
  <si>
    <t>466/37</t>
  </si>
  <si>
    <t>376/33</t>
  </si>
  <si>
    <t>370/345</t>
  </si>
  <si>
    <t>404/15</t>
  </si>
  <si>
    <t>681/9</t>
  </si>
  <si>
    <t>325/2</t>
  </si>
  <si>
    <t>663/11</t>
  </si>
  <si>
    <t>percentage</t>
  </si>
  <si>
    <t>ACDI</t>
  </si>
  <si>
    <t>18-m</t>
  </si>
  <si>
    <t>yes (mother's lap)</t>
  </si>
  <si>
    <t>382/0 (mother's lap)</t>
  </si>
  <si>
    <t>718/0 (mother's lap)</t>
  </si>
  <si>
    <t>372/7</t>
  </si>
  <si>
    <t>621/0</t>
  </si>
  <si>
    <t>sel</t>
  </si>
  <si>
    <t>yes (wtoys processed)</t>
  </si>
  <si>
    <t>pre-processing (violet if done)</t>
  </si>
  <si>
    <t>yes (missing nosatflags files)</t>
  </si>
  <si>
    <t>ABO, RLU, NMA</t>
  </si>
  <si>
    <t>pregrant mother - no ECG from her</t>
  </si>
  <si>
    <t>1J6M15D</t>
  </si>
  <si>
    <t>NMA, RLU, GJO</t>
  </si>
  <si>
    <t>1J6M5D</t>
  </si>
  <si>
    <t>ABO, GJO, RLU</t>
  </si>
  <si>
    <t>1Y6M23D</t>
  </si>
  <si>
    <t>NMA, CDR, RLU</t>
  </si>
  <si>
    <t>1J6M30T</t>
  </si>
  <si>
    <t>1J7M15D</t>
  </si>
  <si>
    <t>ABO, LTR, RLU</t>
  </si>
  <si>
    <t>RLU; CDR; LTR</t>
  </si>
  <si>
    <t>pregnant mother</t>
  </si>
  <si>
    <t>ABO, NMA, RLU</t>
  </si>
  <si>
    <t>ABO, RLU, LNE</t>
  </si>
  <si>
    <t>1J6M7D</t>
  </si>
  <si>
    <t>MTU, LTR, RLU</t>
  </si>
  <si>
    <t>MVA;NMA;LTR</t>
  </si>
  <si>
    <t>MTU;RLU;LTR</t>
  </si>
  <si>
    <t>MVA;LTR;RLU</t>
  </si>
  <si>
    <t>ABO, LRT, RLU</t>
  </si>
  <si>
    <t>baby in a bad mood &amp; technical issues - had to abort testing very early</t>
  </si>
  <si>
    <t>1Y7M30D</t>
  </si>
  <si>
    <t>MTU; NMA; NPO</t>
  </si>
  <si>
    <t>ABO, NMA, NPO</t>
  </si>
  <si>
    <t>1Y7M20D</t>
  </si>
  <si>
    <t>2:30 but probably not usable</t>
  </si>
  <si>
    <t>lap; ikea chair only for puzzle</t>
  </si>
  <si>
    <t>weird phantom signal for baby fNIRS (probably because hyperscanning was on while the baby fNIRS wasn't plugged)</t>
  </si>
  <si>
    <t>mothers hair quite thick, so signal bad</t>
  </si>
  <si>
    <t>Matlab did not show up in Labrecorder --&gt; no fNirs possible (no triggers)</t>
  </si>
  <si>
    <t>fNIRS no signal</t>
  </si>
  <si>
    <t xml:space="preserve">No ECG &amp; fNIRS for infant; at some point towards end the infant got bored with book </t>
  </si>
  <si>
    <t xml:space="preserve">No ECG &amp; fNIRS for baby; baby threw puzzle pieces around </t>
  </si>
  <si>
    <t>46,5/46</t>
  </si>
  <si>
    <t>we had to remove cap because one opthode holder got ripped out - before that the fNIRS signal was good, after placing the cap again we could not get a signal of the baby fNIRS</t>
  </si>
  <si>
    <t>removed baby fNIRS cap before the recording started due to fusiness, but even before that there was no signal</t>
  </si>
  <si>
    <t>fNIRS devices reset before testing; signal seemed ok, but then there was an issue with LSL trigger - no fNIRS recording; video recording started late (end of without toys condition), so we did another without toys after puzzle</t>
  </si>
  <si>
    <t>~1 min</t>
  </si>
  <si>
    <t>in the puzzle condition both ecg good; no NIRS file in the nirx folder</t>
  </si>
  <si>
    <t>baby got fussy at the end (puzzle condition)</t>
  </si>
  <si>
    <t>no NIRS file in the nirx folder</t>
  </si>
  <si>
    <t>infant removed cap in the beginning and then mum put it back on; signal was good beforehand</t>
  </si>
  <si>
    <t>Book title</t>
  </si>
  <si>
    <t>yes (book+puzzle processed)</t>
  </si>
  <si>
    <t>only acdi</t>
  </si>
  <si>
    <t>all 18-m tasks</t>
  </si>
  <si>
    <t>affect&amp;rsa&amp;segm</t>
  </si>
  <si>
    <t>GFR (infant not codable, camera not focused)</t>
  </si>
  <si>
    <t>GWA (sel)</t>
  </si>
  <si>
    <t>yes (missing nosatflags files, wtoys processed)</t>
  </si>
  <si>
    <t>fnirs both t1 and t2</t>
  </si>
  <si>
    <t>GWA (sel); HMA</t>
  </si>
  <si>
    <t>GWA (sel?); HMA</t>
  </si>
  <si>
    <t>KJI</t>
  </si>
  <si>
    <t>JOT; KJI</t>
  </si>
  <si>
    <t>GWA (HMA)</t>
  </si>
  <si>
    <t>GWA</t>
  </si>
  <si>
    <t>only rsa&amp;segm</t>
  </si>
  <si>
    <t>bad channels</t>
  </si>
  <si>
    <t>some bad channels</t>
  </si>
  <si>
    <t>9m wot hbo subj 1</t>
  </si>
  <si>
    <t>9m wot hbo subj 2</t>
  </si>
  <si>
    <t>9m wt hbo subj 2</t>
  </si>
  <si>
    <t>nan</t>
  </si>
  <si>
    <t>LHA; KJI</t>
  </si>
  <si>
    <t>GWA (sel), MVA = high kappa</t>
  </si>
  <si>
    <t>GWA (sel), ABO, mva = low kappa</t>
  </si>
  <si>
    <t>GWA (sel), ABO, mva = high kappa</t>
  </si>
  <si>
    <t>GWA (sel); HMA, mva</t>
  </si>
  <si>
    <t>Good channels</t>
  </si>
  <si>
    <t>1   2   3   4   5   6   7   8   9  10  11  12  13  14  16  17  18</t>
  </si>
  <si>
    <t>1   2   3   4   5   6   7   8   9  11  12  13  14  15  16  17  18</t>
  </si>
  <si>
    <t>2   3   4   5   6   8  10  11  12  13  17  18</t>
  </si>
  <si>
    <t>8   9  10  11  13  17  18</t>
  </si>
  <si>
    <t>3   4  14</t>
  </si>
  <si>
    <t>8   9  11</t>
  </si>
  <si>
    <t>7   9  13  15  17  18</t>
  </si>
  <si>
    <t>1   2   3   4   5   6   7   8  10  11  12  13  14  15  16  17  18</t>
  </si>
  <si>
    <t>8   9  11  15  17  18</t>
  </si>
  <si>
    <t>1   2   3   4   5   6   7   8   9  13  14  15  16  18</t>
  </si>
  <si>
    <t>2   3   4   5   6   7   8  12  13  14  15  16  17  18</t>
  </si>
  <si>
    <t>3   8   9  10  11  12</t>
  </si>
  <si>
    <t>1   8  10  11  12  14  15  16</t>
  </si>
  <si>
    <t>1   2   3   4   5   6   7   8   9  10  11  12  13  14  15  16  17  18</t>
  </si>
  <si>
    <t>8  12  15  17  18</t>
  </si>
  <si>
    <t>1   2   3   4   6   7   8   9  10  11  12  13  14  15  16  17  18</t>
  </si>
  <si>
    <t>6   7   8   9  10  11  12  13  15</t>
  </si>
  <si>
    <t>8  9</t>
  </si>
  <si>
    <t>3   4   5   8  11  12  13  14  17  18</t>
  </si>
  <si>
    <t>9</t>
  </si>
  <si>
    <t>1   2   3   4   6   7   8   9  10  12  13  14  15  16  17  18</t>
  </si>
  <si>
    <t>2   4   5   6   7   8  12  13  17</t>
  </si>
  <si>
    <t>8   9  10  11  18</t>
  </si>
  <si>
    <t>5   6   7  12  13  18</t>
  </si>
  <si>
    <t>1   2   3   4   5   6   7   8  11  12  13  14  15  16  17  18</t>
  </si>
  <si>
    <t>1   2   3   4   5   6   8  12  13  15  17</t>
  </si>
  <si>
    <t>1   2   3   4   6   7   8   9  10  11  12  13  14  15  18</t>
  </si>
  <si>
    <t>13</t>
  </si>
  <si>
    <t>8</t>
  </si>
  <si>
    <t>3   4   8   9  10  11</t>
  </si>
  <si>
    <t>1   2   3   4   5   6   7   8   9  12  13  14  15  16  18</t>
  </si>
  <si>
    <t>2   4   6   8   9  11</t>
  </si>
  <si>
    <t>1   2   3   4   5   7   8   9  10  11  12  13  14  15  16  17  18</t>
  </si>
  <si>
    <t>1   2   3   4   5   6   7  11  13  14  15  16  17  18</t>
  </si>
  <si>
    <t>4   5  13</t>
  </si>
  <si>
    <t>1   2   3   4   5   6   7  11  12  13  14  17</t>
  </si>
  <si>
    <t>6   8   9  10</t>
  </si>
  <si>
    <t>2   3   4   5   6   7  12  13  14</t>
  </si>
  <si>
    <t>2  4  6</t>
  </si>
  <si>
    <t>2   4   6   7   8   9  11  14</t>
  </si>
  <si>
    <t>1   2   3   4   5   6   7  11  12  13  14  15  16  17  18</t>
  </si>
  <si>
    <t>7</t>
  </si>
  <si>
    <t>1   2   3   4   5   6   7   8  12  13  17</t>
  </si>
  <si>
    <t>2   4   6   8   9  10  11  12  17  18</t>
  </si>
  <si>
    <t>2   4   6   7   8  10  11  12  14  16  18</t>
  </si>
  <si>
    <t>1   2   3   4   5   6   7   9  10  11  12  13  14  16  18</t>
  </si>
  <si>
    <t>8  15</t>
  </si>
  <si>
    <t>15</t>
  </si>
  <si>
    <t>18m wot hbo subj 1</t>
  </si>
  <si>
    <t>18m wot hbo subj 2</t>
  </si>
  <si>
    <t>9m wt hbo subj 1 (azzurro coding gaze)</t>
  </si>
  <si>
    <t>18m wt1 hbo subj 1</t>
  </si>
  <si>
    <t>18m wt2 hbo subj 2</t>
  </si>
  <si>
    <t>1   2   3   4   5   6   7   8   9  10  11</t>
  </si>
  <si>
    <t>1   8   9  11</t>
  </si>
  <si>
    <t>2   4   5   6   7   8   9  10  11  12  13  15  16  17  18</t>
  </si>
  <si>
    <t>2  4</t>
  </si>
  <si>
    <t>1   2   3   4   5   6   7   8   9  10  11  13  14  15  16  17  18</t>
  </si>
  <si>
    <t>8   9  10  11  12  13  14  15</t>
  </si>
  <si>
    <t>2   3   4   5   6   7   8   9  11  12  13  17  18</t>
  </si>
  <si>
    <t>2   3   4   5   6   7   8   9  10  11  12  13  14  15  16  17  18</t>
  </si>
  <si>
    <t>1   2   3   4   5   6   7   8   9  11  12  13  14  15  16  17</t>
  </si>
  <si>
    <t>1  2  3</t>
  </si>
  <si>
    <t>2   4   6   8   9  11  18</t>
  </si>
  <si>
    <t>2   4   6   8   9  10  11</t>
  </si>
  <si>
    <t>1   2   4   6   9  16  18</t>
  </si>
  <si>
    <t>5   6   7  12  13  15  16  17  18</t>
  </si>
  <si>
    <t>4   8   9  10  11</t>
  </si>
  <si>
    <t>4</t>
  </si>
  <si>
    <t>1   2   3   4   6   7   8   9  10  11  12  13  15  17  18</t>
  </si>
  <si>
    <t>13  16  18</t>
  </si>
  <si>
    <t>2   3   4   5   6   7   8   9  11  12</t>
  </si>
  <si>
    <t>1   2   3   4   6   9  10  11</t>
  </si>
  <si>
    <t>6  11</t>
  </si>
  <si>
    <t>1   2   3   4   6   7   8   9  10  11  12  13  15  16  17  18</t>
  </si>
  <si>
    <t>7   8   9  11  12  13  15  17</t>
  </si>
  <si>
    <t>1   2   6   7   8   9  10  11  12  18</t>
  </si>
  <si>
    <t>4   6   7   8   9  10  11  12  13  14  15  16  17  18</t>
  </si>
  <si>
    <t>7   8   9  11</t>
  </si>
  <si>
    <t>4   5   8   9  10  11  12  13  14  15  16  18</t>
  </si>
  <si>
    <t>8   9  10</t>
  </si>
  <si>
    <t>1   2   3   9  10  11  12  13  14  15  16  17  18</t>
  </si>
  <si>
    <t>1   2   3   4   5   6   7   8   9  11  12  13  15  17</t>
  </si>
  <si>
    <t>1   2   3   4   5   6   7  12  13  16  17  18</t>
  </si>
  <si>
    <t>1   4   6   7   8   9  10  11  17  18</t>
  </si>
  <si>
    <t>5   8   9  11  12  13</t>
  </si>
  <si>
    <t>3   4   6  13  18</t>
  </si>
  <si>
    <t>1   2   3   4   7   8   9  11  12  13  14  15  18</t>
  </si>
  <si>
    <t>2</t>
  </si>
  <si>
    <t>NO VIDEO</t>
  </si>
  <si>
    <t>2     4     5     6     7     8    10    12    13    14    15    16    18</t>
  </si>
  <si>
    <t>8     9    11</t>
  </si>
  <si>
    <t>1     2     3     4     5     6     7     8     9    12    13    14    15    16    17    18</t>
  </si>
  <si>
    <t>5     6</t>
  </si>
  <si>
    <t>affect &amp; rsa</t>
  </si>
  <si>
    <t>with book</t>
  </si>
  <si>
    <t>with puzzle</t>
  </si>
  <si>
    <t>372/183</t>
  </si>
  <si>
    <t>349/0</t>
  </si>
  <si>
    <t>357/0</t>
  </si>
  <si>
    <t>545/2</t>
  </si>
  <si>
    <t>145/71</t>
  </si>
  <si>
    <t>245/0</t>
  </si>
  <si>
    <t>236/0</t>
  </si>
  <si>
    <t>366/0</t>
  </si>
  <si>
    <t>406/4</t>
  </si>
  <si>
    <t>632/11</t>
  </si>
  <si>
    <t>201/0</t>
  </si>
  <si>
    <t>336/6</t>
  </si>
  <si>
    <t>229/3</t>
  </si>
  <si>
    <t>391/23</t>
  </si>
  <si>
    <t>264/138</t>
  </si>
  <si>
    <t>372/0</t>
  </si>
  <si>
    <t>523/267</t>
  </si>
  <si>
    <t>195/60</t>
  </si>
  <si>
    <t>328/0</t>
  </si>
  <si>
    <t>227/0</t>
  </si>
  <si>
    <t>384/0</t>
  </si>
  <si>
    <t>386/0</t>
  </si>
  <si>
    <t>664/4</t>
  </si>
  <si>
    <t>196/0</t>
  </si>
  <si>
    <t>266/0</t>
  </si>
  <si>
    <t>380/0</t>
  </si>
  <si>
    <t>438/3</t>
  </si>
  <si>
    <t>616/0</t>
  </si>
  <si>
    <t>252/10</t>
  </si>
  <si>
    <t>309/0</t>
  </si>
  <si>
    <t>238/0</t>
  </si>
  <si>
    <t>318/0</t>
  </si>
  <si>
    <t>396/3</t>
  </si>
  <si>
    <t>529/6</t>
  </si>
  <si>
    <t>211/0</t>
  </si>
  <si>
    <t>292/62</t>
  </si>
  <si>
    <t>147/6</t>
  </si>
  <si>
    <t>253/9</t>
  </si>
  <si>
    <t>381/0</t>
  </si>
  <si>
    <t>624/0</t>
  </si>
  <si>
    <t>32/0</t>
  </si>
  <si>
    <t>57/0</t>
  </si>
  <si>
    <t>192/36</t>
  </si>
  <si>
    <t>293/6</t>
  </si>
  <si>
    <t>252/0</t>
  </si>
  <si>
    <t>403/0</t>
  </si>
  <si>
    <t>430/85</t>
  </si>
  <si>
    <t>674/0</t>
  </si>
  <si>
    <t>22/5</t>
  </si>
  <si>
    <t>40/0</t>
  </si>
  <si>
    <t>263/8</t>
  </si>
  <si>
    <t>286/0</t>
  </si>
  <si>
    <t>220/5</t>
  </si>
  <si>
    <t>251/0</t>
  </si>
  <si>
    <t>160/3</t>
  </si>
  <si>
    <t>267/0</t>
  </si>
  <si>
    <t>121/7</t>
  </si>
  <si>
    <t>231/12</t>
  </si>
  <si>
    <t>89/7</t>
  </si>
  <si>
    <t>155/0</t>
  </si>
  <si>
    <t>178/0</t>
  </si>
  <si>
    <t>314/0</t>
  </si>
  <si>
    <t>107/0</t>
  </si>
  <si>
    <t>208/0</t>
  </si>
  <si>
    <t>165/0</t>
  </si>
  <si>
    <t>304/0</t>
  </si>
  <si>
    <t>243/0</t>
  </si>
  <si>
    <t>416/51</t>
  </si>
  <si>
    <t>396/0</t>
  </si>
  <si>
    <t>603/114</t>
  </si>
  <si>
    <t>207/3</t>
  </si>
  <si>
    <t>399/146</t>
  </si>
  <si>
    <t>266/39</t>
  </si>
  <si>
    <t>361/50</t>
  </si>
  <si>
    <t>248/0</t>
  </si>
  <si>
    <t>292/0</t>
  </si>
  <si>
    <t>408/3</t>
  </si>
  <si>
    <t>516/0</t>
  </si>
  <si>
    <t>211/7</t>
  </si>
  <si>
    <t>288/0</t>
  </si>
  <si>
    <t>189/27</t>
  </si>
  <si>
    <t>393/0</t>
  </si>
  <si>
    <t>333/6</t>
  </si>
  <si>
    <t>588/0</t>
  </si>
  <si>
    <t>179/4</t>
  </si>
  <si>
    <t>301/0</t>
  </si>
  <si>
    <t>133/0</t>
  </si>
  <si>
    <t>261/100</t>
  </si>
  <si>
    <t>243/30</t>
  </si>
  <si>
    <t>398/3</t>
  </si>
  <si>
    <t>404/114</t>
  </si>
  <si>
    <t>595/3</t>
  </si>
  <si>
    <t>64/7</t>
  </si>
  <si>
    <t>24/0</t>
  </si>
  <si>
    <t>230/0</t>
  </si>
  <si>
    <t>346/73</t>
  </si>
  <si>
    <t>401/3</t>
  </si>
  <si>
    <t>461/15</t>
  </si>
  <si>
    <t>658/0</t>
  </si>
  <si>
    <t>240/6</t>
  </si>
  <si>
    <t>322/6</t>
  </si>
  <si>
    <t>275/9</t>
  </si>
  <si>
    <t>576/348</t>
  </si>
  <si>
    <t>487/24</t>
  </si>
  <si>
    <t>731/56</t>
  </si>
  <si>
    <t>228/22</t>
  </si>
  <si>
    <t>497/265</t>
  </si>
  <si>
    <t>225/37</t>
  </si>
  <si>
    <t>355/3</t>
  </si>
  <si>
    <t>421/119</t>
  </si>
  <si>
    <t>596/0</t>
  </si>
  <si>
    <t>180/27</t>
  </si>
  <si>
    <t>319/7</t>
  </si>
  <si>
    <t>431/25</t>
  </si>
  <si>
    <t>708/0</t>
  </si>
  <si>
    <t>165/27</t>
  </si>
  <si>
    <t>2410/2338</t>
  </si>
  <si>
    <t>255/0</t>
  </si>
  <si>
    <t>361/0</t>
  </si>
  <si>
    <t>422/294</t>
  </si>
  <si>
    <t>367/0</t>
  </si>
  <si>
    <t>583/301</t>
  </si>
  <si>
    <t>617/3</t>
  </si>
  <si>
    <t>209/50</t>
  </si>
  <si>
    <t>323/3</t>
  </si>
  <si>
    <t>no wp3</t>
  </si>
  <si>
    <t>dad and baby</t>
  </si>
  <si>
    <t>bad data</t>
  </si>
  <si>
    <t>good data</t>
  </si>
  <si>
    <t>ecg baby not recorded</t>
  </si>
  <si>
    <t>no ecg recording</t>
  </si>
  <si>
    <t>no data on the storage</t>
  </si>
  <si>
    <t>CARDIAC SYNC MS</t>
  </si>
  <si>
    <t>tech</t>
  </si>
  <si>
    <t>no min</t>
  </si>
  <si>
    <t>bad ecgs</t>
  </si>
  <si>
    <t>bad ecg 2</t>
  </si>
  <si>
    <t>bad ecg 1</t>
  </si>
  <si>
    <t>no segm</t>
  </si>
  <si>
    <t>fussy segm</t>
  </si>
  <si>
    <t>fussy wp3</t>
  </si>
  <si>
    <t>no German</t>
  </si>
  <si>
    <t>bad ecg2</t>
  </si>
  <si>
    <t>bad ecg1</t>
  </si>
  <si>
    <t>food segm</t>
  </si>
  <si>
    <t>??</t>
  </si>
  <si>
    <t>no german</t>
  </si>
  <si>
    <t>no ecg1</t>
  </si>
  <si>
    <t>no ecg 2</t>
  </si>
  <si>
    <t>segm bell</t>
  </si>
  <si>
    <t>not so good</t>
  </si>
  <si>
    <t>elastico</t>
  </si>
  <si>
    <t>tower, ball</t>
  </si>
  <si>
    <t>tower, ring, their toy</t>
  </si>
  <si>
    <t>duck, bubble, their toy</t>
  </si>
  <si>
    <t>egg, tower, soft small ball</t>
  </si>
  <si>
    <t>bubble, their toy, doll</t>
  </si>
  <si>
    <t>different types of ball</t>
  </si>
  <si>
    <t>duck, rings</t>
  </si>
  <si>
    <t>ball, playground thing, ring</t>
  </si>
  <si>
    <t>their toys</t>
  </si>
  <si>
    <t>rings</t>
  </si>
  <si>
    <t>tower, mouse, bubble</t>
  </si>
  <si>
    <t>doll, ring, ball</t>
  </si>
  <si>
    <t>egg, playground thing, ring</t>
  </si>
  <si>
    <t>book</t>
  </si>
  <si>
    <t>ring, ball, book</t>
  </si>
  <si>
    <t>doll, ring</t>
  </si>
  <si>
    <t>playground thing, ring, egg</t>
  </si>
  <si>
    <t>ball, ring, doll</t>
  </si>
  <si>
    <t>hammer, ring, ball</t>
  </si>
  <si>
    <t>balls, fireman truck</t>
  </si>
  <si>
    <t>doll, rings, ball</t>
  </si>
  <si>
    <t>tower, ball, ring</t>
  </si>
  <si>
    <t>egg, fireman truck, ring</t>
  </si>
  <si>
    <t>ring, fireman truck</t>
  </si>
  <si>
    <t>Vanoncini et al 2022 - Emotional synchrony</t>
  </si>
  <si>
    <t>Vanoncini et al 2024 - part 1 (fnirs - gaze)</t>
  </si>
  <si>
    <t>Vanoncini et al 2024 - part 2 (gaze - ws)</t>
  </si>
  <si>
    <t>Cardiac sync</t>
  </si>
  <si>
    <t>questionari non completati</t>
  </si>
  <si>
    <t>exc.</t>
  </si>
  <si>
    <t>TOT</t>
  </si>
  <si>
    <t>cardiac sync</t>
  </si>
  <si>
    <t>overlap with emot</t>
  </si>
  <si>
    <t>overlap with part 1</t>
  </si>
  <si>
    <t>overlap with part 2</t>
  </si>
  <si>
    <t>emot sync</t>
  </si>
  <si>
    <t>1.IBQ-R-VSF</t>
  </si>
  <si>
    <t>1.1.Surgency/Extraversion</t>
  </si>
  <si>
    <t>1.2.Negative Affect</t>
  </si>
  <si>
    <t>1.3.Effortful Control</t>
  </si>
  <si>
    <t>nov or fam</t>
  </si>
  <si>
    <t>novel</t>
  </si>
  <si>
    <t>familiar</t>
  </si>
  <si>
    <t>RR_emot</t>
  </si>
  <si>
    <t>ENTR_emot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</si>
</sst>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MT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0"/>
      <color theme="1"/>
      <name val="ArialMT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charset val="1"/>
      <scheme val="minor"/>
    </font>
    <font>
      <sz val="11"/>
      <color theme="4" tint="-0.499984740745262"/>
      <name val="Calibri"/>
      <family val="2"/>
      <charset val="1"/>
      <scheme val="minor"/>
    </font>
    <font>
      <sz val="11"/>
      <color theme="0" tint="-0.499984740745262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0"/>
      <color indexed="2"/>
      <name val="ArialMT"/>
    </font>
    <font>
      <sz val="1"/>
      <color theme="1"/>
      <name val="ArialMT"/>
    </font>
    <font>
      <b/>
      <sz val="11"/>
      <name val="Calibri"/>
      <family val="2"/>
      <scheme val="minor"/>
    </font>
    <font>
      <sz val="10"/>
      <name val="Arial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EDDE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D1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Dashed">
        <color theme="0" tint="-0.249977111117893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7" fillId="0" borderId="0"/>
    <xf numFmtId="0" fontId="25" fillId="0" borderId="0"/>
    <xf numFmtId="0" fontId="33" fillId="0" borderId="0"/>
  </cellStyleXfs>
  <cellXfs count="226">
    <xf numFmtId="0" fontId="0" fillId="0" borderId="0" xfId="0"/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21" fontId="0" fillId="0" borderId="0" xfId="0" applyNumberFormat="1"/>
    <xf numFmtId="0" fontId="13" fillId="0" borderId="1" xfId="0" applyFont="1" applyBorder="1" applyAlignment="1">
      <alignment horizontal="center" vertical="top" wrapText="1"/>
    </xf>
    <xf numFmtId="14" fontId="0" fillId="0" borderId="0" xfId="0" applyNumberFormat="1"/>
    <xf numFmtId="0" fontId="0" fillId="2" borderId="0" xfId="0" applyFill="1"/>
    <xf numFmtId="0" fontId="13" fillId="3" borderId="0" xfId="0" applyFont="1" applyFill="1" applyAlignment="1">
      <alignment horizontal="center" vertical="top" wrapText="1"/>
    </xf>
    <xf numFmtId="0" fontId="0" fillId="3" borderId="0" xfId="0" applyFill="1"/>
    <xf numFmtId="0" fontId="0" fillId="4" borderId="0" xfId="0" applyFill="1"/>
    <xf numFmtId="0" fontId="13" fillId="3" borderId="0" xfId="0" applyFont="1" applyFill="1" applyAlignment="1">
      <alignment vertical="top" wrapText="1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6" fillId="0" borderId="0" xfId="0" applyFont="1"/>
    <xf numFmtId="0" fontId="18" fillId="3" borderId="0" xfId="0" applyFont="1" applyFill="1"/>
    <xf numFmtId="0" fontId="18" fillId="0" borderId="0" xfId="0" applyFont="1"/>
    <xf numFmtId="0" fontId="18" fillId="0" borderId="0" xfId="1" applyFont="1"/>
    <xf numFmtId="14" fontId="18" fillId="0" borderId="0" xfId="1" applyNumberFormat="1" applyFont="1"/>
    <xf numFmtId="49" fontId="18" fillId="0" borderId="0" xfId="1" applyNumberFormat="1" applyFont="1"/>
    <xf numFmtId="21" fontId="18" fillId="0" borderId="0" xfId="1" applyNumberFormat="1" applyFont="1"/>
    <xf numFmtId="0" fontId="18" fillId="3" borderId="0" xfId="0" applyFont="1" applyFill="1" applyAlignment="1">
      <alignment horizontal="center"/>
    </xf>
    <xf numFmtId="0" fontId="18" fillId="4" borderId="0" xfId="1" applyFont="1" applyFill="1"/>
    <xf numFmtId="0" fontId="0" fillId="4" borderId="0" xfId="0" applyFill="1" applyAlignment="1">
      <alignment horizontal="center"/>
    </xf>
    <xf numFmtId="0" fontId="18" fillId="5" borderId="0" xfId="0" applyFont="1" applyFill="1" applyAlignment="1">
      <alignment horizontal="center"/>
    </xf>
    <xf numFmtId="0" fontId="18" fillId="6" borderId="0" xfId="0" applyFont="1" applyFill="1"/>
    <xf numFmtId="0" fontId="1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4" borderId="0" xfId="0" applyFont="1" applyFill="1"/>
    <xf numFmtId="0" fontId="18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3" fillId="10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7" fillId="0" borderId="0" xfId="1"/>
    <xf numFmtId="14" fontId="17" fillId="0" borderId="0" xfId="1" applyNumberFormat="1"/>
    <xf numFmtId="21" fontId="17" fillId="0" borderId="0" xfId="1" applyNumberFormat="1"/>
    <xf numFmtId="0" fontId="17" fillId="4" borderId="0" xfId="1" applyFill="1"/>
    <xf numFmtId="0" fontId="0" fillId="9" borderId="0" xfId="0" applyFill="1"/>
    <xf numFmtId="0" fontId="13" fillId="0" borderId="2" xfId="0" applyFont="1" applyBorder="1" applyAlignment="1">
      <alignment horizontal="center" vertical="top" wrapText="1"/>
    </xf>
    <xf numFmtId="0" fontId="0" fillId="0" borderId="2" xfId="0" applyBorder="1"/>
    <xf numFmtId="20" fontId="17" fillId="0" borderId="0" xfId="1" applyNumberFormat="1"/>
    <xf numFmtId="0" fontId="0" fillId="3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18" fillId="0" borderId="2" xfId="1" applyFont="1" applyBorder="1"/>
    <xf numFmtId="0" fontId="18" fillId="8" borderId="2" xfId="1" applyFont="1" applyFill="1" applyBorder="1"/>
    <xf numFmtId="0" fontId="17" fillId="0" borderId="2" xfId="1" applyBorder="1"/>
    <xf numFmtId="0" fontId="0" fillId="3" borderId="5" xfId="0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0" fillId="0" borderId="6" xfId="0" applyBorder="1"/>
    <xf numFmtId="14" fontId="0" fillId="0" borderId="6" xfId="0" applyNumberFormat="1" applyBorder="1"/>
    <xf numFmtId="20" fontId="0" fillId="0" borderId="0" xfId="0" applyNumberFormat="1"/>
    <xf numFmtId="20" fontId="0" fillId="0" borderId="6" xfId="0" applyNumberFormat="1" applyBorder="1"/>
    <xf numFmtId="0" fontId="0" fillId="13" borderId="0" xfId="0" applyFill="1"/>
    <xf numFmtId="0" fontId="0" fillId="14" borderId="2" xfId="0" applyFill="1" applyBorder="1"/>
    <xf numFmtId="0" fontId="0" fillId="14" borderId="0" xfId="0" applyFill="1"/>
    <xf numFmtId="0" fontId="0" fillId="8" borderId="0" xfId="0" applyFill="1"/>
    <xf numFmtId="0" fontId="19" fillId="8" borderId="0" xfId="1" applyFont="1" applyFill="1"/>
    <xf numFmtId="0" fontId="18" fillId="8" borderId="0" xfId="1" applyFont="1" applyFill="1"/>
    <xf numFmtId="0" fontId="17" fillId="8" borderId="0" xfId="1" applyFill="1"/>
    <xf numFmtId="0" fontId="20" fillId="0" borderId="2" xfId="0" applyFont="1" applyBorder="1"/>
    <xf numFmtId="0" fontId="20" fillId="0" borderId="0" xfId="0" applyFont="1"/>
    <xf numFmtId="0" fontId="20" fillId="14" borderId="0" xfId="0" applyFont="1" applyFill="1"/>
    <xf numFmtId="0" fontId="20" fillId="14" borderId="2" xfId="0" applyFont="1" applyFill="1" applyBorder="1"/>
    <xf numFmtId="0" fontId="0" fillId="7" borderId="0" xfId="0" applyFill="1"/>
    <xf numFmtId="0" fontId="0" fillId="8" borderId="6" xfId="0" applyFill="1" applyBorder="1"/>
    <xf numFmtId="0" fontId="0" fillId="15" borderId="0" xfId="0" applyFill="1"/>
    <xf numFmtId="0" fontId="17" fillId="16" borderId="0" xfId="1" applyFill="1"/>
    <xf numFmtId="0" fontId="21" fillId="14" borderId="0" xfId="0" applyFont="1" applyFill="1"/>
    <xf numFmtId="0" fontId="22" fillId="0" borderId="0" xfId="0" applyFont="1"/>
    <xf numFmtId="0" fontId="20" fillId="17" borderId="0" xfId="0" applyFont="1" applyFill="1"/>
    <xf numFmtId="0" fontId="0" fillId="7" borderId="0" xfId="0" applyFill="1" applyAlignment="1">
      <alignment horizontal="center" vertical="center"/>
    </xf>
    <xf numFmtId="0" fontId="23" fillId="0" borderId="0" xfId="0" applyFont="1"/>
    <xf numFmtId="0" fontId="23" fillId="2" borderId="2" xfId="0" applyFont="1" applyFill="1" applyBorder="1"/>
    <xf numFmtId="0" fontId="24" fillId="2" borderId="0" xfId="0" applyFont="1" applyFill="1"/>
    <xf numFmtId="0" fontId="13" fillId="0" borderId="7" xfId="0" applyFont="1" applyBorder="1" applyAlignment="1">
      <alignment horizontal="center" vertical="top" wrapText="1"/>
    </xf>
    <xf numFmtId="0" fontId="0" fillId="0" borderId="7" xfId="0" applyBorder="1"/>
    <xf numFmtId="1" fontId="26" fillId="0" borderId="0" xfId="0" applyNumberFormat="1" applyFont="1"/>
    <xf numFmtId="1" fontId="26" fillId="20" borderId="0" xfId="0" applyNumberFormat="1" applyFont="1" applyFill="1"/>
    <xf numFmtId="0" fontId="26" fillId="0" borderId="0" xfId="0" applyFont="1"/>
    <xf numFmtId="1" fontId="26" fillId="9" borderId="0" xfId="0" applyNumberFormat="1" applyFont="1" applyFill="1"/>
    <xf numFmtId="0" fontId="18" fillId="9" borderId="0" xfId="1" applyFont="1" applyFill="1"/>
    <xf numFmtId="0" fontId="27" fillId="0" borderId="0" xfId="0" applyFont="1"/>
    <xf numFmtId="0" fontId="13" fillId="0" borderId="0" xfId="0" applyFont="1" applyAlignment="1">
      <alignment horizontal="center" vertical="center" wrapText="1"/>
    </xf>
    <xf numFmtId="0" fontId="0" fillId="0" borderId="9" xfId="0" applyBorder="1"/>
    <xf numFmtId="49" fontId="11" fillId="0" borderId="0" xfId="1" applyNumberFormat="1" applyFont="1"/>
    <xf numFmtId="0" fontId="11" fillId="0" borderId="0" xfId="1" applyFont="1"/>
    <xf numFmtId="0" fontId="0" fillId="22" borderId="0" xfId="0" applyFill="1"/>
    <xf numFmtId="0" fontId="11" fillId="22" borderId="0" xfId="1" applyFont="1" applyFill="1"/>
    <xf numFmtId="0" fontId="17" fillId="22" borderId="0" xfId="1" applyFill="1"/>
    <xf numFmtId="14" fontId="0" fillId="22" borderId="0" xfId="0" applyNumberFormat="1" applyFill="1"/>
    <xf numFmtId="0" fontId="0" fillId="23" borderId="0" xfId="0" applyFill="1"/>
    <xf numFmtId="0" fontId="17" fillId="23" borderId="0" xfId="1" applyFill="1"/>
    <xf numFmtId="1" fontId="26" fillId="2" borderId="0" xfId="0" applyNumberFormat="1" applyFont="1" applyFill="1"/>
    <xf numFmtId="0" fontId="18" fillId="2" borderId="0" xfId="1" applyFont="1" applyFill="1"/>
    <xf numFmtId="0" fontId="17" fillId="24" borderId="0" xfId="1" applyFill="1"/>
    <xf numFmtId="0" fontId="0" fillId="24" borderId="0" xfId="0" applyFill="1"/>
    <xf numFmtId="0" fontId="0" fillId="8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0" fillId="0" borderId="0" xfId="0" applyFont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12" fillId="0" borderId="0" xfId="0" applyFont="1" applyAlignment="1">
      <alignment wrapText="1"/>
    </xf>
    <xf numFmtId="2" fontId="0" fillId="0" borderId="0" xfId="0" applyNumberFormat="1"/>
    <xf numFmtId="0" fontId="31" fillId="0" borderId="0" xfId="0" applyFont="1"/>
    <xf numFmtId="0" fontId="0" fillId="14" borderId="7" xfId="0" applyFill="1" applyBorder="1"/>
    <xf numFmtId="0" fontId="20" fillId="0" borderId="7" xfId="0" applyFont="1" applyBorder="1"/>
    <xf numFmtId="0" fontId="23" fillId="0" borderId="7" xfId="0" applyFont="1" applyBorder="1"/>
    <xf numFmtId="0" fontId="20" fillId="14" borderId="7" xfId="0" applyFont="1" applyFill="1" applyBorder="1"/>
    <xf numFmtId="0" fontId="32" fillId="12" borderId="0" xfId="0" applyFont="1" applyFill="1" applyAlignment="1">
      <alignment horizontal="center"/>
    </xf>
    <xf numFmtId="0" fontId="32" fillId="25" borderId="0" xfId="0" applyFont="1" applyFill="1" applyAlignment="1">
      <alignment horizontal="center" vertical="top" wrapText="1"/>
    </xf>
    <xf numFmtId="0" fontId="24" fillId="0" borderId="0" xfId="0" applyFont="1"/>
    <xf numFmtId="0" fontId="24" fillId="26" borderId="0" xfId="0" applyFont="1" applyFill="1"/>
    <xf numFmtId="0" fontId="24" fillId="25" borderId="0" xfId="0" applyFont="1" applyFill="1"/>
    <xf numFmtId="0" fontId="24" fillId="9" borderId="0" xfId="0" applyFont="1" applyFill="1"/>
    <xf numFmtId="0" fontId="0" fillId="9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1" borderId="0" xfId="0" applyFill="1"/>
    <xf numFmtId="0" fontId="0" fillId="10" borderId="0" xfId="0" applyFill="1"/>
    <xf numFmtId="0" fontId="0" fillId="27" borderId="0" xfId="0" applyFill="1"/>
    <xf numFmtId="0" fontId="18" fillId="27" borderId="0" xfId="0" applyFont="1" applyFill="1"/>
    <xf numFmtId="0" fontId="0" fillId="16" borderId="0" xfId="0" applyFill="1"/>
    <xf numFmtId="0" fontId="1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0" fillId="29" borderId="2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13" fillId="30" borderId="0" xfId="0" applyFont="1" applyFill="1" applyAlignment="1">
      <alignment horizontal="center" vertical="center" wrapText="1"/>
    </xf>
    <xf numFmtId="0" fontId="0" fillId="31" borderId="0" xfId="0" applyFill="1"/>
    <xf numFmtId="0" fontId="13" fillId="28" borderId="0" xfId="0" applyFont="1" applyFill="1" applyAlignment="1">
      <alignment horizontal="center" vertical="center" wrapText="1"/>
    </xf>
    <xf numFmtId="0" fontId="0" fillId="22" borderId="2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29" borderId="0" xfId="0" applyFont="1" applyFill="1" applyAlignment="1">
      <alignment horizontal="center" vertical="center"/>
    </xf>
    <xf numFmtId="0" fontId="0" fillId="32" borderId="5" xfId="0" applyFill="1" applyBorder="1" applyAlignment="1">
      <alignment horizontal="center" vertical="center"/>
    </xf>
    <xf numFmtId="0" fontId="0" fillId="32" borderId="2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0" borderId="0" xfId="2"/>
    <xf numFmtId="0" fontId="25" fillId="33" borderId="0" xfId="2" applyFill="1"/>
    <xf numFmtId="0" fontId="7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33" fillId="0" borderId="0" xfId="3"/>
    <xf numFmtId="0" fontId="6" fillId="0" borderId="0" xfId="0" applyFont="1"/>
    <xf numFmtId="49" fontId="0" fillId="0" borderId="0" xfId="0" applyNumberFormat="1"/>
    <xf numFmtId="0" fontId="5" fillId="0" borderId="0" xfId="0" applyFont="1"/>
    <xf numFmtId="0" fontId="0" fillId="26" borderId="0" xfId="0" applyFill="1"/>
    <xf numFmtId="0" fontId="0" fillId="25" borderId="0" xfId="0" applyFill="1"/>
    <xf numFmtId="0" fontId="18" fillId="25" borderId="0" xfId="0" applyFont="1" applyFill="1"/>
    <xf numFmtId="0" fontId="5" fillId="31" borderId="0" xfId="0" applyFont="1" applyFill="1"/>
    <xf numFmtId="0" fontId="0" fillId="25" borderId="0" xfId="0" applyFill="1" applyAlignment="1">
      <alignment horizontal="center" vertical="center"/>
    </xf>
    <xf numFmtId="0" fontId="18" fillId="2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1" borderId="0" xfId="0" applyFont="1" applyFill="1"/>
    <xf numFmtId="0" fontId="3" fillId="0" borderId="0" xfId="0" applyFont="1"/>
    <xf numFmtId="0" fontId="24" fillId="31" borderId="0" xfId="0" applyFont="1" applyFill="1"/>
    <xf numFmtId="0" fontId="2" fillId="2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3" fillId="2" borderId="0" xfId="0" applyFont="1" applyFill="1"/>
    <xf numFmtId="0" fontId="0" fillId="18" borderId="0" xfId="0" applyFill="1"/>
    <xf numFmtId="0" fontId="17" fillId="18" borderId="0" xfId="1" applyFill="1"/>
    <xf numFmtId="0" fontId="13" fillId="3" borderId="0" xfId="0" applyFont="1" applyFill="1"/>
    <xf numFmtId="0" fontId="3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4" fillId="0" borderId="2" xfId="0" applyFont="1" applyBorder="1" applyAlignment="1">
      <alignment horizontal="center"/>
    </xf>
    <xf numFmtId="1" fontId="34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34" fillId="35" borderId="2" xfId="0" applyNumberFormat="1" applyFont="1" applyFill="1" applyBorder="1" applyAlignment="1">
      <alignment horizontal="center"/>
    </xf>
    <xf numFmtId="1" fontId="34" fillId="36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8" borderId="0" xfId="1" applyFont="1" applyFill="1"/>
    <xf numFmtId="0" fontId="24" fillId="0" borderId="0" xfId="0" applyFont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19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3" fillId="12" borderId="8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8" fillId="34" borderId="2" xfId="0" applyFont="1" applyFill="1" applyBorder="1" applyAlignment="1">
      <alignment horizontal="center" vertical="center"/>
    </xf>
    <xf numFmtId="0" fontId="8" fillId="34" borderId="0" xfId="0" applyFont="1" applyFill="1" applyAlignment="1">
      <alignment horizontal="center" vertical="center"/>
    </xf>
    <xf numFmtId="0" fontId="8" fillId="3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30000000}"/>
    <cellStyle name="Normal 4" xfId="3" xr:uid="{00000000-0005-0000-0000-000033000000}"/>
  </cellStyles>
  <dxfs count="0"/>
  <tableStyles count="0" defaultTableStyle="TableStyleMedium2" defaultPivotStyle="PivotStyleLight16"/>
  <colors>
    <mruColors>
      <color rgb="FFFFD1F2"/>
      <color rgb="FF99FF99"/>
      <color rgb="FFFFCC66"/>
      <color rgb="FF66FFFF"/>
      <color rgb="FFFF99FF"/>
      <color rgb="FF00FA00"/>
      <color rgb="FFEDDEFF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94"/>
  <sheetViews>
    <sheetView tabSelected="1" zoomScale="60" zoomScaleNormal="60" workbookViewId="0">
      <pane xSplit="1" topLeftCell="B1" activePane="topRight" state="frozen"/>
      <selection pane="topRight" activeCell="CK39" sqref="CK39"/>
    </sheetView>
  </sheetViews>
  <sheetFormatPr defaultColWidth="9.21875" defaultRowHeight="14.4" x14ac:dyDescent="0.3"/>
  <cols>
    <col min="2" max="2" width="17.44140625" customWidth="1"/>
    <col min="5" max="5" width="13.77734375" customWidth="1"/>
    <col min="15" max="15" width="23.33203125" customWidth="1"/>
    <col min="16" max="16" width="23.33203125" style="8" customWidth="1"/>
    <col min="17" max="19" width="8.6640625" style="8"/>
    <col min="20" max="20" width="8.6640625" style="11"/>
    <col min="21" max="22" width="12.44140625" style="11" customWidth="1"/>
    <col min="23" max="23" width="8.33203125" style="11" customWidth="1"/>
    <col min="24" max="24" width="15.6640625" style="8" customWidth="1"/>
    <col min="25" max="25" width="12.44140625" style="11" customWidth="1"/>
    <col min="26" max="28" width="9.77734375" style="26" customWidth="1"/>
    <col min="29" max="29" width="9.77734375" style="42" customWidth="1"/>
    <col min="30" max="30" width="9.77734375" style="50" customWidth="1"/>
    <col min="31" max="31" width="9.77734375" style="42" customWidth="1"/>
    <col min="32" max="32" width="9.77734375" style="50" customWidth="1"/>
    <col min="33" max="33" width="9.77734375" style="42" customWidth="1"/>
    <col min="34" max="34" width="9.77734375" style="50" customWidth="1"/>
    <col min="35" max="35" width="9.77734375" style="42" customWidth="1"/>
    <col min="36" max="36" width="9.77734375" style="50" customWidth="1"/>
    <col min="37" max="38" width="9.77734375" style="26" customWidth="1"/>
    <col min="39" max="41" width="9.77734375" style="30" customWidth="1"/>
    <col min="42" max="42" width="9.21875" style="40" hidden="1" customWidth="1"/>
    <col min="43" max="53" width="9.21875" hidden="1" customWidth="1"/>
    <col min="54" max="57" width="9.21875" style="30" hidden="1" customWidth="1"/>
    <col min="58" max="58" width="28.77734375" style="30" hidden="1" customWidth="1"/>
    <col min="59" max="59" width="27.109375" style="30" hidden="1" customWidth="1"/>
    <col min="60" max="60" width="9.21875" style="40" hidden="1" customWidth="1"/>
    <col min="61" max="65" width="9.21875" hidden="1" customWidth="1"/>
    <col min="66" max="66" width="9.21875" style="40" customWidth="1"/>
    <col min="67" max="68" width="9.21875" customWidth="1"/>
    <col min="69" max="70" width="9.21875" style="126" customWidth="1"/>
    <col min="71" max="71" width="9.21875" style="81" customWidth="1"/>
    <col min="72" max="73" width="9.21875" customWidth="1"/>
    <col min="74" max="75" width="9.21875" style="126" customWidth="1"/>
    <col min="76" max="79" width="9.21875" customWidth="1"/>
    <col min="80" max="80" width="5.6640625" customWidth="1"/>
    <col min="81" max="81" width="13.21875" customWidth="1"/>
    <col min="82" max="98" width="9.21875" customWidth="1"/>
    <col min="99" max="101" width="9.21875" hidden="1" customWidth="1"/>
    <col min="102" max="102" width="24.109375" hidden="1" customWidth="1"/>
    <col min="103" max="103" width="21.44140625" hidden="1" customWidth="1"/>
    <col min="104" max="105" width="9.21875" hidden="1" customWidth="1"/>
  </cols>
  <sheetData>
    <row r="1" spans="1:117" x14ac:dyDescent="0.3">
      <c r="AK1" s="103"/>
      <c r="AL1" s="103"/>
      <c r="BH1" s="207" t="s">
        <v>265</v>
      </c>
      <c r="BI1" s="207"/>
      <c r="BJ1" s="207"/>
      <c r="BK1" s="207"/>
      <c r="BL1" s="207"/>
      <c r="BM1" s="207"/>
      <c r="BN1" s="207" t="s">
        <v>269</v>
      </c>
      <c r="BO1" s="207"/>
      <c r="BP1" s="207"/>
      <c r="BQ1" s="207"/>
      <c r="BR1" s="207"/>
      <c r="BS1" s="207"/>
      <c r="BT1" s="207"/>
      <c r="BU1" s="207"/>
      <c r="BV1" s="124"/>
      <c r="BW1" s="124"/>
      <c r="BX1" s="206" t="s">
        <v>694</v>
      </c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206"/>
      <c r="CT1" s="206"/>
      <c r="DB1" s="204" t="s">
        <v>265</v>
      </c>
      <c r="DC1" s="204"/>
      <c r="DD1" s="204"/>
      <c r="DE1" s="204"/>
      <c r="DF1" s="204" t="s">
        <v>870</v>
      </c>
      <c r="DG1" s="204"/>
      <c r="DH1" s="204"/>
      <c r="DI1" s="204"/>
      <c r="DJ1" s="204" t="s">
        <v>871</v>
      </c>
      <c r="DK1" s="204"/>
      <c r="DL1" s="204"/>
      <c r="DM1" s="204"/>
    </row>
    <row r="2" spans="1:117" x14ac:dyDescent="0.3">
      <c r="AC2" s="211" t="s">
        <v>301</v>
      </c>
      <c r="AD2" s="211"/>
      <c r="AE2" s="212" t="s">
        <v>302</v>
      </c>
      <c r="AF2" s="212"/>
      <c r="AG2" s="212" t="s">
        <v>304</v>
      </c>
      <c r="AH2" s="213"/>
      <c r="AI2" s="212" t="s">
        <v>303</v>
      </c>
      <c r="AJ2" s="212"/>
      <c r="AK2" s="104"/>
      <c r="AL2" s="104"/>
      <c r="AM2" s="138"/>
      <c r="AN2" s="138"/>
      <c r="AO2" s="138"/>
      <c r="BB2" s="217" t="s">
        <v>702</v>
      </c>
      <c r="BC2" s="217"/>
      <c r="BD2" s="205" t="s">
        <v>774</v>
      </c>
      <c r="BE2" s="205"/>
      <c r="BF2" s="205"/>
      <c r="BG2" s="205"/>
      <c r="BH2" s="207" t="s">
        <v>363</v>
      </c>
      <c r="BI2" s="207"/>
      <c r="BJ2" s="207"/>
      <c r="BK2" s="207" t="s">
        <v>364</v>
      </c>
      <c r="BL2" s="207"/>
      <c r="BM2" s="207"/>
      <c r="BN2" s="207" t="s">
        <v>270</v>
      </c>
      <c r="BO2" s="207"/>
      <c r="BP2" s="207"/>
      <c r="BQ2" s="124"/>
      <c r="BR2" s="124"/>
      <c r="BS2" s="207" t="s">
        <v>271</v>
      </c>
      <c r="BT2" s="207"/>
      <c r="BU2" s="208"/>
      <c r="BV2" s="124"/>
      <c r="BW2" s="124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V2" s="205" t="s">
        <v>774</v>
      </c>
      <c r="CW2" s="205"/>
      <c r="CX2" s="205"/>
      <c r="CY2" s="205"/>
      <c r="DB2" s="204" t="s">
        <v>270</v>
      </c>
      <c r="DC2" s="204"/>
      <c r="DD2" s="204" t="s">
        <v>271</v>
      </c>
      <c r="DE2" s="204"/>
      <c r="DF2" s="204" t="s">
        <v>270</v>
      </c>
      <c r="DG2" s="204"/>
      <c r="DH2" s="204" t="s">
        <v>271</v>
      </c>
      <c r="DI2" s="204"/>
      <c r="DJ2" s="204" t="s">
        <v>270</v>
      </c>
      <c r="DK2" s="204"/>
      <c r="DL2" s="204" t="s">
        <v>271</v>
      </c>
      <c r="DM2" s="204"/>
    </row>
    <row r="3" spans="1:117" s="1" customFormat="1" ht="58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455</v>
      </c>
      <c r="H3" s="1" t="s">
        <v>454</v>
      </c>
      <c r="I3" s="1" t="s">
        <v>199</v>
      </c>
      <c r="J3" s="2" t="s">
        <v>40</v>
      </c>
      <c r="K3" s="1" t="s">
        <v>131</v>
      </c>
      <c r="L3" s="1" t="s">
        <v>132</v>
      </c>
      <c r="M3" s="1" t="s">
        <v>41</v>
      </c>
      <c r="N3" s="1" t="s">
        <v>42</v>
      </c>
      <c r="O3" s="1" t="s">
        <v>43</v>
      </c>
      <c r="P3" s="7" t="s">
        <v>137</v>
      </c>
      <c r="Q3" s="7" t="s">
        <v>123</v>
      </c>
      <c r="R3" s="7" t="s">
        <v>121</v>
      </c>
      <c r="S3" s="7" t="s">
        <v>179</v>
      </c>
      <c r="T3" s="7" t="s">
        <v>160</v>
      </c>
      <c r="U3" s="7" t="s">
        <v>177</v>
      </c>
      <c r="V3" s="7" t="s">
        <v>159</v>
      </c>
      <c r="W3" s="7" t="s">
        <v>134</v>
      </c>
      <c r="X3" s="10" t="s">
        <v>135</v>
      </c>
      <c r="Y3" s="7" t="s">
        <v>165</v>
      </c>
      <c r="Z3" s="25" t="s">
        <v>174</v>
      </c>
      <c r="AA3" s="25" t="s">
        <v>1004</v>
      </c>
      <c r="AB3" s="25"/>
      <c r="AC3" s="45" t="s">
        <v>305</v>
      </c>
      <c r="AD3" s="51" t="s">
        <v>306</v>
      </c>
      <c r="AE3" s="45" t="s">
        <v>305</v>
      </c>
      <c r="AF3" s="51" t="s">
        <v>306</v>
      </c>
      <c r="AG3" s="45" t="s">
        <v>305</v>
      </c>
      <c r="AH3" s="51" t="s">
        <v>306</v>
      </c>
      <c r="AI3" s="45" t="s">
        <v>305</v>
      </c>
      <c r="AJ3" s="51" t="s">
        <v>306</v>
      </c>
      <c r="AK3" s="105" t="s">
        <v>468</v>
      </c>
      <c r="AL3" s="105" t="s">
        <v>469</v>
      </c>
      <c r="AM3" s="146" t="s">
        <v>751</v>
      </c>
      <c r="AN3" s="146" t="s">
        <v>869</v>
      </c>
      <c r="AO3" s="148" t="s">
        <v>762</v>
      </c>
      <c r="AP3" s="46" t="s">
        <v>64</v>
      </c>
      <c r="AQ3" s="4" t="s">
        <v>65</v>
      </c>
      <c r="AR3" s="4" t="s">
        <v>66</v>
      </c>
      <c r="AS3" s="4" t="s">
        <v>67</v>
      </c>
      <c r="AT3" s="4" t="s">
        <v>68</v>
      </c>
      <c r="AU3" s="4" t="s">
        <v>69</v>
      </c>
      <c r="AV3" s="4" t="s">
        <v>70</v>
      </c>
      <c r="AW3" s="4" t="s">
        <v>71</v>
      </c>
      <c r="AX3" s="4" t="s">
        <v>72</v>
      </c>
      <c r="AY3" s="4" t="s">
        <v>73</v>
      </c>
      <c r="AZ3" s="4" t="s">
        <v>74</v>
      </c>
      <c r="BA3" s="4" t="s">
        <v>75</v>
      </c>
      <c r="BB3" s="31" t="s">
        <v>226</v>
      </c>
      <c r="BC3" s="31" t="s">
        <v>227</v>
      </c>
      <c r="BD3" s="88" t="s">
        <v>765</v>
      </c>
      <c r="BE3" s="88" t="s">
        <v>766</v>
      </c>
      <c r="BF3" s="88" t="s">
        <v>825</v>
      </c>
      <c r="BG3" s="88" t="s">
        <v>767</v>
      </c>
      <c r="BH3" s="39" t="s">
        <v>266</v>
      </c>
      <c r="BI3" s="1" t="s">
        <v>267</v>
      </c>
      <c r="BJ3" s="1" t="s">
        <v>268</v>
      </c>
      <c r="BK3" s="1" t="s">
        <v>266</v>
      </c>
      <c r="BL3" s="1" t="s">
        <v>267</v>
      </c>
      <c r="BM3" s="1" t="s">
        <v>268</v>
      </c>
      <c r="BN3" s="39" t="s">
        <v>266</v>
      </c>
      <c r="BO3" s="1" t="s">
        <v>267</v>
      </c>
      <c r="BP3" s="1" t="s">
        <v>268</v>
      </c>
      <c r="BQ3" s="125" t="s">
        <v>615</v>
      </c>
      <c r="BR3" s="125" t="s">
        <v>692</v>
      </c>
      <c r="BS3" s="80" t="s">
        <v>266</v>
      </c>
      <c r="BT3" s="1" t="s">
        <v>267</v>
      </c>
      <c r="BU3" s="1" t="s">
        <v>268</v>
      </c>
      <c r="BV3" s="125" t="s">
        <v>615</v>
      </c>
      <c r="BW3" s="125"/>
      <c r="BX3" s="88" t="s">
        <v>693</v>
      </c>
      <c r="BY3" s="114" t="s">
        <v>0</v>
      </c>
      <c r="BZ3" s="115" t="s">
        <v>1</v>
      </c>
      <c r="CA3" s="115" t="s">
        <v>2</v>
      </c>
      <c r="CB3" s="115" t="s">
        <v>3</v>
      </c>
      <c r="CC3" s="115" t="s">
        <v>4</v>
      </c>
      <c r="CD3" s="115" t="s">
        <v>5</v>
      </c>
      <c r="CE3" s="114" t="s">
        <v>64</v>
      </c>
      <c r="CF3" s="115" t="s">
        <v>65</v>
      </c>
      <c r="CG3" s="115" t="s">
        <v>557</v>
      </c>
      <c r="CH3" s="115" t="s">
        <v>747</v>
      </c>
      <c r="CI3" s="115" t="s">
        <v>558</v>
      </c>
      <c r="CJ3" s="115" t="s">
        <v>559</v>
      </c>
      <c r="CK3" s="115" t="s">
        <v>68</v>
      </c>
      <c r="CL3" s="117" t="s">
        <v>69</v>
      </c>
      <c r="CM3" s="117" t="s">
        <v>70</v>
      </c>
      <c r="CN3" s="115" t="s">
        <v>71</v>
      </c>
      <c r="CO3" s="115" t="s">
        <v>72</v>
      </c>
      <c r="CP3" s="115" t="s">
        <v>73</v>
      </c>
      <c r="CQ3" s="115" t="s">
        <v>74</v>
      </c>
      <c r="CR3" s="115" t="s">
        <v>75</v>
      </c>
      <c r="CS3" s="31" t="s">
        <v>226</v>
      </c>
      <c r="CT3" s="31" t="s">
        <v>227</v>
      </c>
      <c r="CU3" s="1" t="s">
        <v>755</v>
      </c>
      <c r="CV3" s="88" t="s">
        <v>823</v>
      </c>
      <c r="CW3" s="88" t="s">
        <v>824</v>
      </c>
      <c r="CX3" s="88" t="s">
        <v>826</v>
      </c>
      <c r="CY3" s="88" t="s">
        <v>827</v>
      </c>
      <c r="CZ3" s="88" t="s">
        <v>826</v>
      </c>
      <c r="DA3" s="88" t="s">
        <v>827</v>
      </c>
      <c r="DB3" s="1" t="s">
        <v>615</v>
      </c>
      <c r="DC3" s="1" t="s">
        <v>692</v>
      </c>
      <c r="DD3" s="1" t="s">
        <v>615</v>
      </c>
      <c r="DE3" s="1" t="s">
        <v>692</v>
      </c>
      <c r="DF3" s="1" t="s">
        <v>615</v>
      </c>
      <c r="DG3" s="1" t="s">
        <v>692</v>
      </c>
      <c r="DH3" s="1" t="s">
        <v>615</v>
      </c>
      <c r="DI3" s="1" t="s">
        <v>692</v>
      </c>
      <c r="DJ3" s="1" t="s">
        <v>615</v>
      </c>
      <c r="DK3" s="1" t="s">
        <v>692</v>
      </c>
      <c r="DL3" s="1" t="s">
        <v>615</v>
      </c>
      <c r="DM3" s="1" t="s">
        <v>692</v>
      </c>
    </row>
    <row r="4" spans="1:117" x14ac:dyDescent="0.3">
      <c r="A4">
        <v>1</v>
      </c>
      <c r="B4" t="s">
        <v>6</v>
      </c>
      <c r="C4">
        <v>1</v>
      </c>
      <c r="E4" s="5">
        <v>44104</v>
      </c>
      <c r="F4" t="s">
        <v>7</v>
      </c>
      <c r="G4">
        <v>301</v>
      </c>
      <c r="H4" s="82">
        <v>1</v>
      </c>
      <c r="I4" t="s">
        <v>200</v>
      </c>
      <c r="J4">
        <v>1</v>
      </c>
      <c r="K4" s="9">
        <v>1</v>
      </c>
      <c r="L4">
        <v>2</v>
      </c>
      <c r="N4" s="13">
        <v>0</v>
      </c>
      <c r="O4" t="s">
        <v>44</v>
      </c>
      <c r="Q4" s="6" t="s">
        <v>124</v>
      </c>
      <c r="R4" s="8" t="s">
        <v>122</v>
      </c>
      <c r="S4" s="8" t="s">
        <v>126</v>
      </c>
      <c r="T4" s="11" t="s">
        <v>126</v>
      </c>
      <c r="W4" s="11" t="s">
        <v>126</v>
      </c>
      <c r="X4" s="11"/>
      <c r="Y4" s="12" t="s">
        <v>126</v>
      </c>
      <c r="AA4" s="26" t="s">
        <v>124</v>
      </c>
      <c r="AC4" s="42" t="s">
        <v>181</v>
      </c>
      <c r="AE4" s="42" t="s">
        <v>310</v>
      </c>
      <c r="AI4" s="42" t="s">
        <v>314</v>
      </c>
      <c r="AJ4" s="42" t="s">
        <v>314</v>
      </c>
      <c r="AK4" s="42" t="s">
        <v>126</v>
      </c>
      <c r="AL4" s="42" t="s">
        <v>129</v>
      </c>
      <c r="AM4" s="139"/>
      <c r="AN4" s="139"/>
      <c r="AO4" s="139"/>
      <c r="AP4" s="40">
        <v>1</v>
      </c>
      <c r="AT4">
        <v>1</v>
      </c>
      <c r="AX4" t="s">
        <v>76</v>
      </c>
      <c r="BA4" t="s">
        <v>77</v>
      </c>
      <c r="BB4" s="30" t="s">
        <v>126</v>
      </c>
      <c r="BC4" s="30" t="s">
        <v>126</v>
      </c>
      <c r="BD4" s="26"/>
      <c r="BE4" s="26"/>
      <c r="BF4" s="26"/>
      <c r="BG4" s="26"/>
      <c r="BH4" s="40" t="s">
        <v>356</v>
      </c>
      <c r="BI4" t="s">
        <v>273</v>
      </c>
      <c r="BJ4" t="s">
        <v>273</v>
      </c>
      <c r="BK4" s="60" t="s">
        <v>357</v>
      </c>
      <c r="BL4" t="s">
        <v>272</v>
      </c>
      <c r="BM4" t="s">
        <v>272</v>
      </c>
      <c r="BN4" s="59" t="s">
        <v>358</v>
      </c>
      <c r="BO4" t="s">
        <v>272</v>
      </c>
      <c r="BP4" t="s">
        <v>273</v>
      </c>
      <c r="BQ4" s="126" t="s">
        <v>599</v>
      </c>
      <c r="BR4" s="126">
        <f>3/376</f>
        <v>7.9787234042553185E-3</v>
      </c>
      <c r="BS4" s="120" t="s">
        <v>357</v>
      </c>
      <c r="BT4" t="s">
        <v>272</v>
      </c>
      <c r="BU4" t="s">
        <v>272</v>
      </c>
      <c r="BV4" s="126" t="s">
        <v>600</v>
      </c>
      <c r="BW4" s="126">
        <f>21/570</f>
        <v>3.6842105263157891E-2</v>
      </c>
      <c r="BX4" s="71" t="s">
        <v>750</v>
      </c>
      <c r="BY4">
        <v>101</v>
      </c>
      <c r="BZ4" t="s">
        <v>488</v>
      </c>
      <c r="CA4" t="s">
        <v>489</v>
      </c>
      <c r="CC4" s="5">
        <v>44393</v>
      </c>
      <c r="CD4" t="s">
        <v>490</v>
      </c>
      <c r="CE4">
        <v>1</v>
      </c>
      <c r="CF4" s="56">
        <v>7.1527777777777787E-2</v>
      </c>
      <c r="CG4" s="56">
        <v>0.11805555555555557</v>
      </c>
      <c r="CH4" s="56"/>
      <c r="CI4" s="56">
        <v>0.17708333333333334</v>
      </c>
      <c r="CJ4" t="s">
        <v>560</v>
      </c>
      <c r="CK4" s="118">
        <v>1</v>
      </c>
      <c r="CL4" t="s">
        <v>111</v>
      </c>
      <c r="CM4" t="s">
        <v>259</v>
      </c>
      <c r="CN4" s="119">
        <v>1</v>
      </c>
      <c r="CO4">
        <v>1</v>
      </c>
      <c r="CP4">
        <v>2</v>
      </c>
      <c r="CQ4">
        <v>2</v>
      </c>
      <c r="CS4" s="133" t="s">
        <v>129</v>
      </c>
      <c r="CT4" s="133" t="s">
        <v>129</v>
      </c>
      <c r="CX4" s="170" t="s">
        <v>788</v>
      </c>
      <c r="CY4" s="170" t="s">
        <v>828</v>
      </c>
      <c r="DB4" t="s">
        <v>876</v>
      </c>
      <c r="DC4" s="174">
        <f>71/145</f>
        <v>0.48965517241379308</v>
      </c>
      <c r="DD4" t="s">
        <v>877</v>
      </c>
      <c r="DE4" s="175">
        <v>0</v>
      </c>
      <c r="DF4" t="s">
        <v>872</v>
      </c>
      <c r="DG4" s="174">
        <f>183/372</f>
        <v>0.49193548387096775</v>
      </c>
      <c r="DH4" t="s">
        <v>873</v>
      </c>
      <c r="DI4" s="175">
        <v>0</v>
      </c>
      <c r="DJ4" t="s">
        <v>874</v>
      </c>
      <c r="DK4" s="175">
        <v>0</v>
      </c>
      <c r="DL4" t="s">
        <v>875</v>
      </c>
      <c r="DM4" s="175">
        <f>2/545</f>
        <v>3.669724770642202E-3</v>
      </c>
    </row>
    <row r="5" spans="1:117" x14ac:dyDescent="0.3">
      <c r="A5">
        <v>2</v>
      </c>
      <c r="B5" t="s">
        <v>8</v>
      </c>
      <c r="C5">
        <v>2</v>
      </c>
      <c r="E5" s="5">
        <v>44105</v>
      </c>
      <c r="F5" t="s">
        <v>9</v>
      </c>
      <c r="G5">
        <v>302</v>
      </c>
      <c r="H5" s="82">
        <v>1</v>
      </c>
      <c r="I5" t="s">
        <v>200</v>
      </c>
      <c r="J5">
        <v>1</v>
      </c>
      <c r="K5" s="9">
        <v>1</v>
      </c>
      <c r="L5">
        <v>2</v>
      </c>
      <c r="N5">
        <v>1</v>
      </c>
      <c r="Q5" s="6" t="s">
        <v>124</v>
      </c>
      <c r="R5" s="8" t="s">
        <v>122</v>
      </c>
      <c r="S5" s="8" t="s">
        <v>126</v>
      </c>
      <c r="T5" s="11" t="s">
        <v>129</v>
      </c>
      <c r="X5" s="11"/>
      <c r="Y5" s="12" t="s">
        <v>126</v>
      </c>
      <c r="AA5" s="26" t="s">
        <v>124</v>
      </c>
      <c r="AI5" s="42" t="s">
        <v>314</v>
      </c>
      <c r="AJ5" s="42" t="s">
        <v>314</v>
      </c>
      <c r="AK5" s="42" t="s">
        <v>126</v>
      </c>
      <c r="AL5" s="42" t="s">
        <v>126</v>
      </c>
      <c r="AM5" s="139"/>
      <c r="AN5" s="139"/>
      <c r="AO5" s="139"/>
      <c r="AP5" s="40">
        <v>1</v>
      </c>
      <c r="AS5" t="s">
        <v>78</v>
      </c>
      <c r="AT5">
        <v>1</v>
      </c>
      <c r="AW5">
        <v>0</v>
      </c>
      <c r="AX5" t="s">
        <v>79</v>
      </c>
      <c r="AY5" t="s">
        <v>80</v>
      </c>
      <c r="AZ5" t="s">
        <v>80</v>
      </c>
      <c r="BA5" t="s">
        <v>81</v>
      </c>
      <c r="BB5" s="30" t="s">
        <v>126</v>
      </c>
      <c r="BC5" s="30" t="s">
        <v>126</v>
      </c>
      <c r="BD5" s="26"/>
      <c r="BE5" s="26"/>
      <c r="BF5" s="26"/>
      <c r="BG5" s="26"/>
      <c r="BH5" s="40" t="s">
        <v>273</v>
      </c>
      <c r="BI5" t="s">
        <v>273</v>
      </c>
      <c r="BJ5" t="s">
        <v>273</v>
      </c>
      <c r="BK5" t="s">
        <v>272</v>
      </c>
      <c r="BL5" t="s">
        <v>272</v>
      </c>
      <c r="BM5" t="s">
        <v>357</v>
      </c>
      <c r="BN5" s="40" t="s">
        <v>273</v>
      </c>
      <c r="BO5" t="s">
        <v>273</v>
      </c>
      <c r="BP5" t="s">
        <v>273</v>
      </c>
      <c r="BQ5" s="202" t="s">
        <v>126</v>
      </c>
      <c r="BR5" s="203"/>
      <c r="BS5" s="81" t="s">
        <v>357</v>
      </c>
      <c r="BT5" t="s">
        <v>357</v>
      </c>
      <c r="BU5" t="s">
        <v>357</v>
      </c>
      <c r="BV5" s="202" t="s">
        <v>129</v>
      </c>
      <c r="BW5" s="203"/>
      <c r="BX5" s="71" t="s">
        <v>750</v>
      </c>
      <c r="BY5">
        <v>102</v>
      </c>
      <c r="BZ5" t="s">
        <v>285</v>
      </c>
      <c r="CA5" t="s">
        <v>478</v>
      </c>
      <c r="CC5" s="5">
        <v>44386</v>
      </c>
      <c r="CD5" t="s">
        <v>479</v>
      </c>
      <c r="CE5">
        <v>1</v>
      </c>
      <c r="CF5" s="56">
        <v>0.10416666666666667</v>
      </c>
      <c r="CG5" s="56">
        <v>0.125</v>
      </c>
      <c r="CH5" s="56"/>
      <c r="CI5" s="56">
        <v>0.20833333333333334</v>
      </c>
      <c r="CJ5" t="s">
        <v>560</v>
      </c>
      <c r="CK5">
        <v>1</v>
      </c>
      <c r="CL5" t="s">
        <v>111</v>
      </c>
      <c r="CM5" t="s">
        <v>223</v>
      </c>
      <c r="CN5">
        <v>1</v>
      </c>
      <c r="CO5">
        <v>2</v>
      </c>
      <c r="CP5">
        <v>2</v>
      </c>
      <c r="CQ5">
        <v>2</v>
      </c>
      <c r="CR5" t="s">
        <v>561</v>
      </c>
      <c r="CS5" s="133" t="s">
        <v>129</v>
      </c>
      <c r="CT5" s="133" t="s">
        <v>129</v>
      </c>
      <c r="CX5" s="170" t="s">
        <v>788</v>
      </c>
      <c r="CY5" s="170" t="s">
        <v>829</v>
      </c>
      <c r="DB5" t="s">
        <v>882</v>
      </c>
      <c r="DC5" s="175">
        <v>0</v>
      </c>
      <c r="DD5" t="s">
        <v>883</v>
      </c>
      <c r="DE5" s="175">
        <f>6/336</f>
        <v>1.7857142857142856E-2</v>
      </c>
      <c r="DF5" t="s">
        <v>878</v>
      </c>
      <c r="DG5" s="175">
        <v>0</v>
      </c>
      <c r="DH5" t="s">
        <v>879</v>
      </c>
      <c r="DI5" s="175">
        <v>0</v>
      </c>
      <c r="DJ5" t="s">
        <v>880</v>
      </c>
      <c r="DK5" s="175">
        <f>4/406</f>
        <v>9.852216748768473E-3</v>
      </c>
      <c r="DL5" t="s">
        <v>881</v>
      </c>
      <c r="DM5" s="175">
        <f>11/632</f>
        <v>1.740506329113924E-2</v>
      </c>
    </row>
    <row r="6" spans="1:117" x14ac:dyDescent="0.3">
      <c r="A6">
        <v>3</v>
      </c>
      <c r="B6" t="s">
        <v>10</v>
      </c>
      <c r="C6">
        <v>3</v>
      </c>
      <c r="E6" s="5">
        <v>44110</v>
      </c>
      <c r="F6" t="s">
        <v>11</v>
      </c>
      <c r="G6">
        <v>291</v>
      </c>
      <c r="H6" s="82">
        <v>1</v>
      </c>
      <c r="I6" t="s">
        <v>200</v>
      </c>
      <c r="J6">
        <v>1</v>
      </c>
      <c r="K6" s="9">
        <v>1</v>
      </c>
      <c r="L6">
        <v>2</v>
      </c>
      <c r="O6" t="s">
        <v>45</v>
      </c>
      <c r="Q6" s="6" t="s">
        <v>124</v>
      </c>
      <c r="R6" s="8" t="s">
        <v>122</v>
      </c>
      <c r="S6" s="8" t="s">
        <v>126</v>
      </c>
      <c r="T6" s="11" t="s">
        <v>129</v>
      </c>
      <c r="X6" s="11"/>
      <c r="Y6" s="12" t="s">
        <v>126</v>
      </c>
      <c r="AA6" s="26" t="s">
        <v>124</v>
      </c>
      <c r="AI6" s="42" t="s">
        <v>314</v>
      </c>
      <c r="AJ6" s="42" t="s">
        <v>314</v>
      </c>
      <c r="AK6" s="42" t="s">
        <v>126</v>
      </c>
      <c r="AL6" s="42" t="s">
        <v>126</v>
      </c>
      <c r="AM6" s="139"/>
      <c r="AN6" s="139"/>
      <c r="AO6" s="139"/>
      <c r="AP6" s="40">
        <v>1</v>
      </c>
      <c r="AS6" t="s">
        <v>82</v>
      </c>
      <c r="AT6">
        <v>1</v>
      </c>
      <c r="BA6" t="s">
        <v>83</v>
      </c>
      <c r="BB6" s="30" t="s">
        <v>126</v>
      </c>
      <c r="BC6" s="30" t="s">
        <v>126</v>
      </c>
      <c r="BD6" s="26"/>
      <c r="BE6" s="26"/>
      <c r="BF6" s="26"/>
      <c r="BG6" s="26"/>
      <c r="BH6" s="40" t="s">
        <v>357</v>
      </c>
      <c r="BI6" t="s">
        <v>272</v>
      </c>
      <c r="BJ6" t="s">
        <v>357</v>
      </c>
      <c r="BK6" t="s">
        <v>357</v>
      </c>
      <c r="BL6" t="s">
        <v>357</v>
      </c>
      <c r="BM6" t="s">
        <v>357</v>
      </c>
      <c r="BN6" s="40" t="s">
        <v>272</v>
      </c>
      <c r="BO6" t="s">
        <v>357</v>
      </c>
      <c r="BP6" t="s">
        <v>357</v>
      </c>
      <c r="BQ6" s="183"/>
      <c r="BR6" s="183"/>
      <c r="BS6" s="81" t="s">
        <v>357</v>
      </c>
      <c r="BT6" t="s">
        <v>357</v>
      </c>
      <c r="BU6" t="s">
        <v>357</v>
      </c>
      <c r="BV6" s="183"/>
      <c r="BW6" s="183"/>
      <c r="BX6" s="135"/>
      <c r="BY6" s="135"/>
      <c r="BZ6" s="135"/>
      <c r="CA6" s="135"/>
      <c r="CB6" s="135"/>
      <c r="CC6" s="135"/>
      <c r="CD6" s="135"/>
      <c r="CE6" s="135"/>
      <c r="CF6" s="135"/>
      <c r="CG6" s="135"/>
      <c r="CH6" s="135"/>
      <c r="CI6" s="135"/>
      <c r="CJ6" s="135"/>
      <c r="CK6" s="135"/>
      <c r="CL6" s="135"/>
      <c r="CM6" s="135"/>
      <c r="CN6" s="135"/>
      <c r="CO6" s="135"/>
      <c r="CP6" s="135"/>
      <c r="CQ6" s="135"/>
      <c r="CR6" s="135"/>
      <c r="CS6" s="135"/>
      <c r="CT6" s="135"/>
      <c r="CX6" t="s">
        <v>108</v>
      </c>
      <c r="CY6" t="s">
        <v>108</v>
      </c>
      <c r="DB6" s="135"/>
      <c r="DC6" s="135"/>
      <c r="DD6" s="135"/>
      <c r="DE6" s="135"/>
      <c r="DF6" s="135"/>
      <c r="DG6" s="135"/>
      <c r="DH6" s="135"/>
      <c r="DI6" s="135"/>
      <c r="DJ6" s="135"/>
      <c r="DK6" s="135"/>
      <c r="DL6" s="135"/>
      <c r="DM6" s="135"/>
    </row>
    <row r="7" spans="1:117" x14ac:dyDescent="0.3">
      <c r="A7">
        <v>4</v>
      </c>
      <c r="B7" t="s">
        <v>12</v>
      </c>
      <c r="C7">
        <v>4</v>
      </c>
      <c r="E7" s="5">
        <v>44111</v>
      </c>
      <c r="F7" t="s">
        <v>9</v>
      </c>
      <c r="G7">
        <v>302</v>
      </c>
      <c r="H7" s="82">
        <v>1</v>
      </c>
      <c r="I7" t="s">
        <v>200</v>
      </c>
      <c r="J7">
        <v>1</v>
      </c>
      <c r="K7">
        <v>0</v>
      </c>
      <c r="L7">
        <v>2</v>
      </c>
      <c r="M7">
        <v>1</v>
      </c>
      <c r="N7">
        <v>1</v>
      </c>
      <c r="O7" t="s">
        <v>46</v>
      </c>
      <c r="Q7" s="8" t="s">
        <v>125</v>
      </c>
      <c r="R7" s="8" t="s">
        <v>126</v>
      </c>
      <c r="S7" s="8" t="s">
        <v>126</v>
      </c>
      <c r="T7" s="11" t="s">
        <v>126</v>
      </c>
      <c r="W7" s="11" t="s">
        <v>129</v>
      </c>
      <c r="X7" s="22" t="s">
        <v>136</v>
      </c>
      <c r="Y7" s="12" t="s">
        <v>126</v>
      </c>
      <c r="AA7" s="26" t="s">
        <v>1005</v>
      </c>
      <c r="AI7" s="42" t="s">
        <v>314</v>
      </c>
      <c r="AJ7" s="42" t="s">
        <v>314</v>
      </c>
      <c r="AK7" s="42" t="s">
        <v>126</v>
      </c>
      <c r="AL7" s="42" t="s">
        <v>126</v>
      </c>
      <c r="AM7" s="139"/>
      <c r="AN7" s="139"/>
      <c r="AO7" s="139"/>
      <c r="AP7" s="40">
        <v>1</v>
      </c>
      <c r="AT7">
        <v>1</v>
      </c>
      <c r="AW7">
        <v>0</v>
      </c>
      <c r="BA7" t="s">
        <v>84</v>
      </c>
      <c r="BB7" s="30" t="s">
        <v>126</v>
      </c>
      <c r="BC7" s="30" t="s">
        <v>126</v>
      </c>
      <c r="BD7" s="26"/>
      <c r="BE7" s="26"/>
      <c r="BF7" s="26"/>
      <c r="BG7" s="26"/>
      <c r="BH7" s="40" t="s">
        <v>357</v>
      </c>
      <c r="BI7" t="s">
        <v>357</v>
      </c>
      <c r="BJ7" t="s">
        <v>272</v>
      </c>
      <c r="BK7" t="s">
        <v>357</v>
      </c>
      <c r="BL7" t="s">
        <v>357</v>
      </c>
      <c r="BM7" t="s">
        <v>357</v>
      </c>
      <c r="BN7" s="40" t="s">
        <v>357</v>
      </c>
      <c r="BO7" t="s">
        <v>273</v>
      </c>
      <c r="BP7" t="s">
        <v>272</v>
      </c>
      <c r="BQ7" s="147"/>
      <c r="BR7" s="183"/>
      <c r="BS7" s="81" t="s">
        <v>357</v>
      </c>
      <c r="BT7" t="s">
        <v>357</v>
      </c>
      <c r="BU7" t="s">
        <v>357</v>
      </c>
      <c r="BV7" s="183"/>
      <c r="BW7" s="183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X7" t="s">
        <v>108</v>
      </c>
      <c r="CY7" t="s">
        <v>108</v>
      </c>
      <c r="DB7" s="135"/>
      <c r="DC7" s="135"/>
      <c r="DD7" s="135"/>
      <c r="DE7" s="135"/>
      <c r="DF7" s="135"/>
      <c r="DG7" s="135"/>
      <c r="DH7" s="135"/>
      <c r="DI7" s="135"/>
      <c r="DJ7" s="135"/>
      <c r="DK7" s="135"/>
      <c r="DL7" s="135"/>
      <c r="DM7" s="135"/>
    </row>
    <row r="8" spans="1:117" x14ac:dyDescent="0.3">
      <c r="A8">
        <v>5</v>
      </c>
      <c r="B8" t="s">
        <v>10</v>
      </c>
      <c r="C8">
        <v>5</v>
      </c>
      <c r="E8" s="5">
        <v>44111</v>
      </c>
      <c r="F8" t="s">
        <v>11</v>
      </c>
      <c r="G8">
        <v>291</v>
      </c>
      <c r="H8" s="82">
        <v>2</v>
      </c>
      <c r="I8" t="s">
        <v>201</v>
      </c>
      <c r="J8">
        <v>1</v>
      </c>
      <c r="Q8" s="6" t="s">
        <v>124</v>
      </c>
      <c r="R8" s="8" t="s">
        <v>122</v>
      </c>
      <c r="S8" s="8" t="s">
        <v>126</v>
      </c>
      <c r="T8" s="11" t="s">
        <v>129</v>
      </c>
      <c r="X8" s="11"/>
      <c r="Y8" s="12" t="s">
        <v>126</v>
      </c>
      <c r="AA8" s="26" t="s">
        <v>124</v>
      </c>
      <c r="AC8" s="214" t="s">
        <v>473</v>
      </c>
      <c r="AD8" s="215"/>
      <c r="AE8" s="215"/>
      <c r="AF8" s="215"/>
      <c r="AG8" s="215"/>
      <c r="AH8" s="216"/>
      <c r="AK8" s="42" t="s">
        <v>126</v>
      </c>
      <c r="AL8" s="42" t="s">
        <v>126</v>
      </c>
      <c r="AM8" s="139"/>
      <c r="AN8" s="139"/>
      <c r="AO8" s="139"/>
      <c r="AT8" s="9"/>
      <c r="BB8" s="30" t="s">
        <v>126</v>
      </c>
      <c r="BC8" s="30" t="s">
        <v>126</v>
      </c>
      <c r="BD8" s="26"/>
      <c r="BE8" s="26"/>
      <c r="BF8" s="26"/>
      <c r="BG8" s="26"/>
      <c r="BN8" s="224" t="s">
        <v>424</v>
      </c>
      <c r="BO8" s="223"/>
      <c r="BP8" s="223"/>
      <c r="BS8" s="225" t="s">
        <v>424</v>
      </c>
      <c r="BT8" s="223"/>
      <c r="BU8" s="223"/>
      <c r="BX8" s="60" t="s">
        <v>749</v>
      </c>
      <c r="BY8">
        <v>105</v>
      </c>
      <c r="BZ8" t="s">
        <v>485</v>
      </c>
      <c r="CA8" t="s">
        <v>486</v>
      </c>
      <c r="CC8" s="5">
        <v>44391</v>
      </c>
      <c r="CD8" t="s">
        <v>487</v>
      </c>
      <c r="CE8">
        <v>0</v>
      </c>
      <c r="CK8" s="118"/>
      <c r="CS8" t="s">
        <v>126</v>
      </c>
      <c r="CT8" t="s">
        <v>126</v>
      </c>
      <c r="CX8" t="s">
        <v>108</v>
      </c>
      <c r="CY8" t="s">
        <v>108</v>
      </c>
      <c r="DB8" s="223" t="s">
        <v>997</v>
      </c>
      <c r="DC8" s="223"/>
      <c r="DD8" s="223"/>
      <c r="DE8" s="223"/>
      <c r="DF8" s="223"/>
      <c r="DG8" s="223"/>
      <c r="DH8" s="223"/>
      <c r="DI8" s="223"/>
      <c r="DJ8" s="223"/>
      <c r="DK8" s="223"/>
      <c r="DL8" s="223"/>
      <c r="DM8" s="223"/>
    </row>
    <row r="9" spans="1:117" x14ac:dyDescent="0.3">
      <c r="A9">
        <v>6</v>
      </c>
      <c r="B9" t="s">
        <v>13</v>
      </c>
      <c r="C9">
        <v>6</v>
      </c>
      <c r="E9" s="5">
        <v>44112</v>
      </c>
      <c r="F9" t="s">
        <v>14</v>
      </c>
      <c r="G9">
        <v>305</v>
      </c>
      <c r="H9" s="82">
        <v>1</v>
      </c>
      <c r="I9" t="s">
        <v>200</v>
      </c>
      <c r="J9" s="9" t="s">
        <v>447</v>
      </c>
      <c r="K9">
        <v>0</v>
      </c>
      <c r="L9">
        <v>1</v>
      </c>
      <c r="M9">
        <v>1</v>
      </c>
      <c r="O9" t="s">
        <v>47</v>
      </c>
      <c r="Q9" s="8" t="s">
        <v>125</v>
      </c>
      <c r="R9" s="8" t="s">
        <v>126</v>
      </c>
      <c r="S9" s="8" t="s">
        <v>126</v>
      </c>
      <c r="T9" s="11" t="s">
        <v>126</v>
      </c>
      <c r="W9" s="11" t="s">
        <v>133</v>
      </c>
      <c r="X9" s="11" t="s">
        <v>166</v>
      </c>
      <c r="Y9" s="12" t="s">
        <v>126</v>
      </c>
      <c r="AA9" s="26" t="s">
        <v>1010</v>
      </c>
      <c r="AI9" s="42" t="s">
        <v>314</v>
      </c>
      <c r="AJ9" s="42" t="s">
        <v>314</v>
      </c>
      <c r="AK9" s="42" t="s">
        <v>126</v>
      </c>
      <c r="AL9" s="42" t="s">
        <v>126</v>
      </c>
      <c r="AM9" s="139"/>
      <c r="AN9" s="139"/>
      <c r="AO9" s="139"/>
      <c r="AP9" s="40">
        <v>1</v>
      </c>
      <c r="AS9" t="s">
        <v>82</v>
      </c>
      <c r="AT9">
        <v>1</v>
      </c>
      <c r="BB9" s="30" t="s">
        <v>126</v>
      </c>
      <c r="BC9" s="30" t="s">
        <v>126</v>
      </c>
      <c r="BD9" s="26"/>
      <c r="BE9" s="26"/>
      <c r="BF9" s="26"/>
      <c r="BG9" s="26"/>
      <c r="BH9" s="40" t="s">
        <v>359</v>
      </c>
      <c r="BI9" t="s">
        <v>273</v>
      </c>
      <c r="BJ9" t="s">
        <v>273</v>
      </c>
      <c r="BK9" t="s">
        <v>357</v>
      </c>
      <c r="BL9" t="s">
        <v>272</v>
      </c>
      <c r="BM9" t="s">
        <v>272</v>
      </c>
      <c r="BN9" s="40" t="s">
        <v>358</v>
      </c>
      <c r="BO9" t="s">
        <v>272</v>
      </c>
      <c r="BP9" t="s">
        <v>272</v>
      </c>
      <c r="BQ9" s="183"/>
      <c r="BR9" s="183"/>
      <c r="BS9" s="81" t="s">
        <v>357</v>
      </c>
      <c r="BT9" t="s">
        <v>272</v>
      </c>
      <c r="BU9" t="s">
        <v>357</v>
      </c>
      <c r="BV9" s="183"/>
      <c r="BW9" s="183"/>
      <c r="BX9" s="135"/>
      <c r="BY9" s="135"/>
      <c r="BZ9" s="135"/>
      <c r="CA9" s="135"/>
      <c r="CB9" s="135"/>
      <c r="CC9" s="135"/>
      <c r="CD9" s="135"/>
      <c r="CE9" s="135"/>
      <c r="CF9" s="135"/>
      <c r="CG9" s="135"/>
      <c r="CH9" s="135"/>
      <c r="CI9" s="135"/>
      <c r="CJ9" s="135"/>
      <c r="CK9" s="135"/>
      <c r="CL9" s="135"/>
      <c r="CM9" s="135"/>
      <c r="CN9" s="135"/>
      <c r="CO9" s="135"/>
      <c r="CP9" s="135"/>
      <c r="CQ9" s="135"/>
      <c r="CR9" s="135"/>
      <c r="CS9" s="135"/>
      <c r="CT9" s="135"/>
      <c r="CX9" t="s">
        <v>108</v>
      </c>
      <c r="CY9" t="s">
        <v>108</v>
      </c>
      <c r="DB9" s="135"/>
      <c r="DC9" s="135"/>
      <c r="DD9" s="135"/>
      <c r="DE9" s="135"/>
      <c r="DF9" s="135"/>
      <c r="DG9" s="135"/>
      <c r="DH9" s="135"/>
      <c r="DI9" s="135"/>
      <c r="DJ9" s="135"/>
      <c r="DK9" s="135"/>
      <c r="DL9" s="135"/>
      <c r="DM9" s="135"/>
    </row>
    <row r="10" spans="1:117" x14ac:dyDescent="0.3">
      <c r="A10">
        <v>7</v>
      </c>
      <c r="B10" t="s">
        <v>15</v>
      </c>
      <c r="C10">
        <v>7</v>
      </c>
      <c r="E10" s="5">
        <v>44118</v>
      </c>
      <c r="F10" t="s">
        <v>16</v>
      </c>
      <c r="G10">
        <v>306</v>
      </c>
      <c r="H10" s="82">
        <v>1</v>
      </c>
      <c r="I10" t="s">
        <v>200</v>
      </c>
      <c r="J10">
        <v>1</v>
      </c>
      <c r="K10">
        <v>0</v>
      </c>
      <c r="L10">
        <v>2</v>
      </c>
      <c r="M10">
        <v>1</v>
      </c>
      <c r="N10">
        <v>1</v>
      </c>
      <c r="O10" t="s">
        <v>48</v>
      </c>
      <c r="Q10" s="8" t="s">
        <v>125</v>
      </c>
      <c r="R10" s="8" t="s">
        <v>127</v>
      </c>
      <c r="S10" s="8" t="s">
        <v>126</v>
      </c>
      <c r="T10" s="11" t="s">
        <v>126</v>
      </c>
      <c r="V10" s="11" t="s">
        <v>126</v>
      </c>
      <c r="X10" s="22" t="s">
        <v>136</v>
      </c>
      <c r="Y10" s="12" t="s">
        <v>126</v>
      </c>
      <c r="AA10" s="26" t="s">
        <v>1005</v>
      </c>
      <c r="AI10" s="42" t="s">
        <v>314</v>
      </c>
      <c r="AJ10" s="42" t="s">
        <v>314</v>
      </c>
      <c r="AK10" s="42" t="s">
        <v>126</v>
      </c>
      <c r="AL10" s="42" t="s">
        <v>126</v>
      </c>
      <c r="AM10" s="139"/>
      <c r="AN10" s="139"/>
      <c r="AO10" s="139"/>
      <c r="AP10" s="40">
        <v>1</v>
      </c>
      <c r="AS10" t="s">
        <v>85</v>
      </c>
      <c r="AT10">
        <v>1</v>
      </c>
      <c r="AW10" t="s">
        <v>86</v>
      </c>
      <c r="AX10" t="s">
        <v>86</v>
      </c>
      <c r="AY10" t="s">
        <v>86</v>
      </c>
      <c r="AZ10" t="s">
        <v>86</v>
      </c>
      <c r="BA10" t="s">
        <v>87</v>
      </c>
      <c r="BB10" s="30" t="s">
        <v>126</v>
      </c>
      <c r="BC10" s="30" t="s">
        <v>126</v>
      </c>
      <c r="BD10" s="26"/>
      <c r="BE10" s="26"/>
      <c r="BF10" s="26"/>
      <c r="BG10" s="26"/>
      <c r="BH10" s="40" t="s">
        <v>357</v>
      </c>
      <c r="BI10" t="s">
        <v>272</v>
      </c>
      <c r="BJ10" t="s">
        <v>272</v>
      </c>
      <c r="BK10" t="s">
        <v>272</v>
      </c>
      <c r="BL10" t="s">
        <v>273</v>
      </c>
      <c r="BM10" t="s">
        <v>357</v>
      </c>
      <c r="BN10" s="40" t="s">
        <v>357</v>
      </c>
      <c r="BO10" t="s">
        <v>272</v>
      </c>
      <c r="BP10" t="s">
        <v>357</v>
      </c>
      <c r="BQ10" s="183"/>
      <c r="BR10" s="183"/>
      <c r="BS10" s="81" t="s">
        <v>357</v>
      </c>
      <c r="BT10" t="s">
        <v>272</v>
      </c>
      <c r="BU10" t="s">
        <v>272</v>
      </c>
      <c r="BV10" s="183"/>
      <c r="BW10" s="183"/>
      <c r="BX10" s="71" t="s">
        <v>750</v>
      </c>
      <c r="BY10">
        <v>107</v>
      </c>
      <c r="BZ10" t="s">
        <v>387</v>
      </c>
      <c r="CA10" t="s">
        <v>480</v>
      </c>
      <c r="CC10" s="5">
        <v>44386</v>
      </c>
      <c r="CD10" t="s">
        <v>481</v>
      </c>
      <c r="CE10">
        <v>1</v>
      </c>
      <c r="CF10" t="s">
        <v>562</v>
      </c>
      <c r="CG10" s="56"/>
      <c r="CH10" s="56"/>
      <c r="CI10" s="56">
        <v>0.11944444444444445</v>
      </c>
      <c r="CJ10" t="s">
        <v>89</v>
      </c>
      <c r="CK10" s="118">
        <v>1</v>
      </c>
      <c r="CL10" t="s">
        <v>210</v>
      </c>
      <c r="CM10" t="s">
        <v>223</v>
      </c>
      <c r="CN10">
        <v>1</v>
      </c>
      <c r="CO10">
        <v>1</v>
      </c>
      <c r="CP10">
        <v>2</v>
      </c>
      <c r="CQ10">
        <v>2</v>
      </c>
      <c r="CR10" t="s">
        <v>563</v>
      </c>
      <c r="CS10" s="133" t="s">
        <v>129</v>
      </c>
      <c r="CT10" s="133" t="s">
        <v>129</v>
      </c>
      <c r="CX10" t="s">
        <v>108</v>
      </c>
      <c r="CY10" t="s">
        <v>108</v>
      </c>
      <c r="DB10" t="s">
        <v>999</v>
      </c>
      <c r="DD10" t="s">
        <v>999</v>
      </c>
      <c r="DF10" t="s">
        <v>424</v>
      </c>
      <c r="DH10" t="s">
        <v>424</v>
      </c>
      <c r="DJ10" t="s">
        <v>884</v>
      </c>
      <c r="DK10">
        <f>3/229</f>
        <v>1.3100436681222707E-2</v>
      </c>
      <c r="DL10" t="s">
        <v>885</v>
      </c>
      <c r="DM10">
        <f>23/391</f>
        <v>5.8823529411764705E-2</v>
      </c>
    </row>
    <row r="11" spans="1:117" x14ac:dyDescent="0.3">
      <c r="A11">
        <v>8</v>
      </c>
      <c r="B11" t="s">
        <v>8</v>
      </c>
      <c r="C11">
        <v>8</v>
      </c>
      <c r="E11" s="5">
        <v>44118</v>
      </c>
      <c r="F11" t="s">
        <v>17</v>
      </c>
      <c r="G11">
        <v>308</v>
      </c>
      <c r="H11" s="82">
        <v>1</v>
      </c>
      <c r="I11" t="s">
        <v>200</v>
      </c>
      <c r="J11">
        <v>1</v>
      </c>
      <c r="K11">
        <v>0</v>
      </c>
      <c r="L11">
        <v>2</v>
      </c>
      <c r="M11">
        <v>1</v>
      </c>
      <c r="N11">
        <v>1</v>
      </c>
      <c r="O11" t="s">
        <v>49</v>
      </c>
      <c r="P11" s="8" t="s">
        <v>138</v>
      </c>
      <c r="Q11" s="8" t="s">
        <v>125</v>
      </c>
      <c r="R11" s="8" t="s">
        <v>127</v>
      </c>
      <c r="S11" s="8" t="s">
        <v>126</v>
      </c>
      <c r="T11" s="11" t="s">
        <v>129</v>
      </c>
      <c r="U11" s="11" t="s">
        <v>158</v>
      </c>
      <c r="V11" s="22" t="s">
        <v>126</v>
      </c>
      <c r="W11" s="11" t="s">
        <v>129</v>
      </c>
      <c r="X11" s="11" t="s">
        <v>139</v>
      </c>
      <c r="Y11" s="12" t="s">
        <v>126</v>
      </c>
      <c r="AA11" s="26" t="s">
        <v>1006</v>
      </c>
      <c r="AC11" s="42" t="s">
        <v>181</v>
      </c>
      <c r="AD11" s="50" t="s">
        <v>181</v>
      </c>
      <c r="AE11" s="42" t="s">
        <v>310</v>
      </c>
      <c r="AI11" s="42" t="s">
        <v>313</v>
      </c>
      <c r="AK11" s="42" t="s">
        <v>126</v>
      </c>
      <c r="AL11" s="42" t="s">
        <v>126</v>
      </c>
      <c r="AM11" s="139"/>
      <c r="AN11" s="139"/>
      <c r="AO11" s="139"/>
      <c r="AP11" s="40">
        <v>1</v>
      </c>
      <c r="AR11" t="s">
        <v>88</v>
      </c>
      <c r="AS11" t="s">
        <v>89</v>
      </c>
      <c r="AT11">
        <v>1</v>
      </c>
      <c r="AW11">
        <v>2</v>
      </c>
      <c r="AX11">
        <v>0</v>
      </c>
      <c r="AY11">
        <v>1</v>
      </c>
      <c r="AZ11">
        <v>1</v>
      </c>
      <c r="BA11" t="s">
        <v>90</v>
      </c>
      <c r="BB11" s="30" t="s">
        <v>126</v>
      </c>
      <c r="BC11" s="30" t="s">
        <v>126</v>
      </c>
      <c r="BD11" s="26"/>
      <c r="BE11" s="26"/>
      <c r="BF11" s="26"/>
      <c r="BG11" s="26"/>
      <c r="BH11" s="40" t="s">
        <v>357</v>
      </c>
      <c r="BI11" t="s">
        <v>272</v>
      </c>
      <c r="BJ11" t="s">
        <v>272</v>
      </c>
      <c r="BK11" t="s">
        <v>360</v>
      </c>
      <c r="BL11" t="s">
        <v>357</v>
      </c>
      <c r="BM11" t="s">
        <v>357</v>
      </c>
      <c r="BN11" s="40" t="s">
        <v>357</v>
      </c>
      <c r="BO11" t="s">
        <v>272</v>
      </c>
      <c r="BP11" t="s">
        <v>272</v>
      </c>
      <c r="BQ11" s="183"/>
      <c r="BR11" s="183"/>
      <c r="BS11" s="81" t="s">
        <v>360</v>
      </c>
      <c r="BT11" t="s">
        <v>272</v>
      </c>
      <c r="BU11" t="s">
        <v>357</v>
      </c>
      <c r="BV11" s="183"/>
      <c r="BW11" s="183"/>
      <c r="BX11" s="71" t="s">
        <v>750</v>
      </c>
      <c r="BY11">
        <v>108</v>
      </c>
      <c r="BZ11" t="s">
        <v>491</v>
      </c>
      <c r="CA11" t="s">
        <v>492</v>
      </c>
      <c r="CC11" s="5">
        <v>44398</v>
      </c>
      <c r="CD11" t="s">
        <v>493</v>
      </c>
      <c r="CE11">
        <v>1</v>
      </c>
      <c r="CF11" s="56">
        <v>0.10416666666666667</v>
      </c>
      <c r="CG11" s="56">
        <v>0.125</v>
      </c>
      <c r="CH11" s="56"/>
      <c r="CI11" s="56">
        <v>0.20833333333333334</v>
      </c>
      <c r="CJ11" t="s">
        <v>560</v>
      </c>
      <c r="CK11" s="118"/>
      <c r="CL11" t="s">
        <v>258</v>
      </c>
      <c r="CM11" t="s">
        <v>223</v>
      </c>
      <c r="CN11">
        <v>1</v>
      </c>
      <c r="CO11">
        <v>1</v>
      </c>
      <c r="CP11">
        <v>1</v>
      </c>
      <c r="CQ11">
        <v>2</v>
      </c>
      <c r="CS11" s="133" t="s">
        <v>129</v>
      </c>
      <c r="CT11" s="133" t="s">
        <v>129</v>
      </c>
      <c r="CX11" s="170" t="s">
        <v>830</v>
      </c>
      <c r="CY11" s="170" t="s">
        <v>831</v>
      </c>
      <c r="DB11" t="s">
        <v>889</v>
      </c>
      <c r="DC11" s="174">
        <f>60/195</f>
        <v>0.30769230769230771</v>
      </c>
      <c r="DD11" t="s">
        <v>890</v>
      </c>
      <c r="DE11" s="175">
        <v>0</v>
      </c>
      <c r="DF11" t="s">
        <v>886</v>
      </c>
      <c r="DG11" s="174">
        <f>138/264</f>
        <v>0.52272727272727271</v>
      </c>
      <c r="DH11" t="s">
        <v>887</v>
      </c>
      <c r="DI11" s="175">
        <v>0</v>
      </c>
      <c r="DJ11" t="s">
        <v>888</v>
      </c>
      <c r="DK11" s="174">
        <f>267/523</f>
        <v>0.51051625239005738</v>
      </c>
      <c r="DL11" t="s">
        <v>699</v>
      </c>
      <c r="DM11" s="175">
        <v>0</v>
      </c>
    </row>
    <row r="12" spans="1:117" x14ac:dyDescent="0.3">
      <c r="A12" s="61">
        <v>9</v>
      </c>
      <c r="B12" t="s">
        <v>10</v>
      </c>
      <c r="C12">
        <v>1</v>
      </c>
      <c r="E12" s="5">
        <v>44119</v>
      </c>
      <c r="F12" t="s">
        <v>18</v>
      </c>
      <c r="G12">
        <v>311</v>
      </c>
      <c r="H12" s="82">
        <v>2</v>
      </c>
      <c r="I12" t="s">
        <v>201</v>
      </c>
      <c r="J12" s="13">
        <v>1</v>
      </c>
      <c r="K12" s="13">
        <v>1</v>
      </c>
      <c r="N12" s="13">
        <v>1</v>
      </c>
      <c r="P12" s="8" t="s">
        <v>140</v>
      </c>
      <c r="Q12" s="8" t="s">
        <v>125</v>
      </c>
      <c r="R12" s="8" t="s">
        <v>127</v>
      </c>
      <c r="S12" s="8" t="s">
        <v>126</v>
      </c>
      <c r="T12" s="11" t="s">
        <v>129</v>
      </c>
      <c r="U12" s="11" t="s">
        <v>126</v>
      </c>
      <c r="V12" s="11" t="s">
        <v>129</v>
      </c>
      <c r="W12" s="11" t="s">
        <v>126</v>
      </c>
      <c r="X12" s="11"/>
      <c r="Y12" s="11" t="s">
        <v>129</v>
      </c>
      <c r="Z12" s="26" t="s">
        <v>129</v>
      </c>
      <c r="AA12" s="26" t="s">
        <v>89</v>
      </c>
      <c r="AC12" s="209" t="s">
        <v>180</v>
      </c>
      <c r="AD12" s="210"/>
      <c r="AE12" s="130" t="s">
        <v>311</v>
      </c>
      <c r="AF12" s="131"/>
      <c r="AG12" s="130" t="s">
        <v>423</v>
      </c>
      <c r="AH12" s="131" t="s">
        <v>700</v>
      </c>
      <c r="AI12" s="130"/>
      <c r="AJ12" s="131"/>
      <c r="AK12" s="132" t="s">
        <v>129</v>
      </c>
      <c r="AL12" s="132" t="s">
        <v>695</v>
      </c>
      <c r="BA12" s="96" t="s">
        <v>466</v>
      </c>
      <c r="BB12" s="30" t="s">
        <v>126</v>
      </c>
      <c r="BC12" s="30" t="s">
        <v>126</v>
      </c>
      <c r="BD12" s="26"/>
      <c r="BE12" s="26"/>
      <c r="BF12" s="169"/>
      <c r="BG12" s="169"/>
      <c r="BH12" s="65" t="s">
        <v>359</v>
      </c>
      <c r="BI12" s="67" t="s">
        <v>357</v>
      </c>
      <c r="BJ12" s="66" t="s">
        <v>272</v>
      </c>
      <c r="BK12" s="66" t="s">
        <v>361</v>
      </c>
      <c r="BL12" s="66" t="s">
        <v>272</v>
      </c>
      <c r="BM12" s="67" t="s">
        <v>357</v>
      </c>
      <c r="BN12" s="65" t="s">
        <v>360</v>
      </c>
      <c r="BO12" s="67" t="s">
        <v>357</v>
      </c>
      <c r="BP12" s="66" t="s">
        <v>272</v>
      </c>
      <c r="BQ12" s="129" t="s">
        <v>696</v>
      </c>
      <c r="BR12" s="129">
        <f>0/382</f>
        <v>0</v>
      </c>
      <c r="BS12" s="121" t="s">
        <v>359</v>
      </c>
      <c r="BT12" s="66" t="s">
        <v>272</v>
      </c>
      <c r="BU12" s="67" t="s">
        <v>357</v>
      </c>
      <c r="BV12" s="129" t="s">
        <v>697</v>
      </c>
      <c r="BW12" s="129">
        <f>0/718</f>
        <v>0</v>
      </c>
      <c r="BX12" s="137"/>
      <c r="BY12">
        <v>109</v>
      </c>
      <c r="BZ12" t="s">
        <v>482</v>
      </c>
      <c r="CA12" t="s">
        <v>483</v>
      </c>
      <c r="CC12" t="s">
        <v>484</v>
      </c>
      <c r="CE12">
        <v>1</v>
      </c>
      <c r="CF12" t="s">
        <v>564</v>
      </c>
      <c r="CG12" t="s">
        <v>564</v>
      </c>
      <c r="CI12" s="56">
        <v>0.20833333333333334</v>
      </c>
      <c r="CJ12" t="s">
        <v>89</v>
      </c>
      <c r="CK12" s="118">
        <v>1</v>
      </c>
      <c r="CL12" t="s">
        <v>111</v>
      </c>
      <c r="CM12" t="s">
        <v>106</v>
      </c>
      <c r="CN12">
        <v>2</v>
      </c>
      <c r="CO12">
        <v>2</v>
      </c>
      <c r="CP12">
        <v>2</v>
      </c>
      <c r="CQ12">
        <v>2</v>
      </c>
      <c r="CR12" t="s">
        <v>565</v>
      </c>
      <c r="CS12" s="133" t="s">
        <v>129</v>
      </c>
      <c r="CT12" s="133" t="s">
        <v>129</v>
      </c>
      <c r="CX12" s="170" t="s">
        <v>832</v>
      </c>
      <c r="CY12" s="170" t="s">
        <v>833</v>
      </c>
      <c r="DB12" s="147" t="s">
        <v>108</v>
      </c>
      <c r="DC12" s="147"/>
      <c r="DD12" s="147" t="s">
        <v>108</v>
      </c>
      <c r="DE12" s="147"/>
      <c r="DF12" s="147" t="s">
        <v>108</v>
      </c>
      <c r="DG12" s="147"/>
      <c r="DH12" s="147" t="s">
        <v>108</v>
      </c>
      <c r="DI12" s="147"/>
      <c r="DJ12" s="147" t="s">
        <v>108</v>
      </c>
      <c r="DK12" s="147"/>
      <c r="DL12" s="147" t="s">
        <v>108</v>
      </c>
      <c r="DM12" s="147"/>
    </row>
    <row r="13" spans="1:117" x14ac:dyDescent="0.3">
      <c r="A13" s="61">
        <v>10</v>
      </c>
      <c r="B13" t="s">
        <v>15</v>
      </c>
      <c r="C13">
        <v>2</v>
      </c>
      <c r="E13" s="5">
        <v>44125</v>
      </c>
      <c r="F13" t="s">
        <v>19</v>
      </c>
      <c r="G13">
        <v>289</v>
      </c>
      <c r="H13" s="82">
        <v>2</v>
      </c>
      <c r="I13" t="s">
        <v>201</v>
      </c>
      <c r="J13">
        <v>1</v>
      </c>
      <c r="K13">
        <v>0</v>
      </c>
      <c r="L13">
        <v>1</v>
      </c>
      <c r="M13">
        <v>1</v>
      </c>
      <c r="N13">
        <v>1</v>
      </c>
      <c r="O13" t="s">
        <v>50</v>
      </c>
      <c r="P13" s="8" t="s">
        <v>141</v>
      </c>
      <c r="Q13" s="8" t="s">
        <v>125</v>
      </c>
      <c r="R13" s="8" t="s">
        <v>127</v>
      </c>
      <c r="S13" s="8" t="s">
        <v>126</v>
      </c>
      <c r="T13" s="11" t="s">
        <v>129</v>
      </c>
      <c r="U13" s="11" t="s">
        <v>126</v>
      </c>
      <c r="V13" s="11" t="s">
        <v>129</v>
      </c>
      <c r="W13" s="11" t="s">
        <v>126</v>
      </c>
      <c r="X13" s="11"/>
      <c r="Y13" s="11" t="s">
        <v>129</v>
      </c>
      <c r="Z13" s="26" t="s">
        <v>126</v>
      </c>
      <c r="AA13" s="178">
        <v>1</v>
      </c>
      <c r="AB13" s="178" t="s">
        <v>1023</v>
      </c>
      <c r="AC13" s="106" t="s">
        <v>307</v>
      </c>
      <c r="AD13" s="106" t="s">
        <v>307</v>
      </c>
      <c r="AE13" s="43" t="s">
        <v>311</v>
      </c>
      <c r="AF13" s="52" t="s">
        <v>758</v>
      </c>
      <c r="AG13" s="43" t="s">
        <v>423</v>
      </c>
      <c r="AH13" s="163" t="s">
        <v>770</v>
      </c>
      <c r="AI13" s="107" t="s">
        <v>314</v>
      </c>
      <c r="AJ13" s="107" t="s">
        <v>314</v>
      </c>
      <c r="AK13" s="43" t="s">
        <v>129</v>
      </c>
      <c r="AL13" s="43" t="s">
        <v>129</v>
      </c>
      <c r="AM13" s="141"/>
      <c r="AN13" s="141"/>
      <c r="AO13" s="149"/>
      <c r="AP13" s="40">
        <v>1</v>
      </c>
      <c r="AS13" t="s">
        <v>82</v>
      </c>
      <c r="AT13">
        <v>1</v>
      </c>
      <c r="AW13" t="s">
        <v>91</v>
      </c>
      <c r="AX13">
        <v>2</v>
      </c>
      <c r="AY13">
        <v>1</v>
      </c>
      <c r="AZ13">
        <v>1</v>
      </c>
      <c r="BA13" t="s">
        <v>92</v>
      </c>
      <c r="BB13" s="30" t="s">
        <v>126</v>
      </c>
      <c r="BC13" s="30" t="s">
        <v>126</v>
      </c>
      <c r="BD13" s="26"/>
      <c r="BE13" s="26"/>
      <c r="BF13" s="169"/>
      <c r="BG13" s="169"/>
      <c r="BH13" s="65" t="s">
        <v>359</v>
      </c>
      <c r="BI13" s="67" t="s">
        <v>357</v>
      </c>
      <c r="BJ13" s="66" t="s">
        <v>272</v>
      </c>
      <c r="BK13" s="66" t="s">
        <v>358</v>
      </c>
      <c r="BL13" s="66" t="s">
        <v>272</v>
      </c>
      <c r="BM13" s="67" t="s">
        <v>357</v>
      </c>
      <c r="BN13" s="68" t="s">
        <v>358</v>
      </c>
      <c r="BO13" s="66" t="s">
        <v>272</v>
      </c>
      <c r="BP13" s="66" t="s">
        <v>272</v>
      </c>
      <c r="BQ13" s="128" t="s">
        <v>602</v>
      </c>
      <c r="BR13" s="128">
        <f>0/426</f>
        <v>0</v>
      </c>
      <c r="BS13" s="121" t="s">
        <v>359</v>
      </c>
      <c r="BT13" s="66" t="s">
        <v>357</v>
      </c>
      <c r="BU13" s="67" t="s">
        <v>357</v>
      </c>
      <c r="BV13" s="128" t="s">
        <v>603</v>
      </c>
      <c r="BW13" s="128">
        <f>7/626</f>
        <v>1.1182108626198083E-2</v>
      </c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X13" t="s">
        <v>108</v>
      </c>
      <c r="CY13" t="s">
        <v>108</v>
      </c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</row>
    <row r="14" spans="1:117" x14ac:dyDescent="0.3">
      <c r="A14" s="61">
        <v>11</v>
      </c>
      <c r="B14" t="s">
        <v>20</v>
      </c>
      <c r="C14">
        <v>3</v>
      </c>
      <c r="E14" s="5">
        <v>44126</v>
      </c>
      <c r="F14" t="s">
        <v>14</v>
      </c>
      <c r="G14">
        <v>305</v>
      </c>
      <c r="H14" s="82">
        <v>2</v>
      </c>
      <c r="I14" t="s">
        <v>201</v>
      </c>
      <c r="J14">
        <v>1</v>
      </c>
      <c r="K14">
        <v>0</v>
      </c>
      <c r="L14">
        <v>2</v>
      </c>
      <c r="M14">
        <v>1</v>
      </c>
      <c r="N14" s="9">
        <v>0</v>
      </c>
      <c r="O14" t="s">
        <v>51</v>
      </c>
      <c r="P14" s="8" t="s">
        <v>175</v>
      </c>
      <c r="Q14" s="8" t="s">
        <v>125</v>
      </c>
      <c r="R14" s="8" t="s">
        <v>127</v>
      </c>
      <c r="S14" s="8" t="s">
        <v>126</v>
      </c>
      <c r="T14" s="11" t="s">
        <v>129</v>
      </c>
      <c r="U14" s="11" t="s">
        <v>126</v>
      </c>
      <c r="V14" s="11" t="s">
        <v>129</v>
      </c>
      <c r="W14" s="11" t="s">
        <v>126</v>
      </c>
      <c r="X14" s="11"/>
      <c r="Y14" s="11" t="s">
        <v>129</v>
      </c>
      <c r="Z14" s="26" t="s">
        <v>129</v>
      </c>
      <c r="AA14" s="26" t="s">
        <v>1008</v>
      </c>
      <c r="AC14" s="43" t="s">
        <v>181</v>
      </c>
      <c r="AD14" s="43" t="s">
        <v>181</v>
      </c>
      <c r="AE14" s="43"/>
      <c r="AF14" s="52" t="s">
        <v>758</v>
      </c>
      <c r="AG14" s="43" t="s">
        <v>423</v>
      </c>
      <c r="AH14" s="52" t="s">
        <v>753</v>
      </c>
      <c r="AI14" s="43" t="s">
        <v>313</v>
      </c>
      <c r="AJ14" s="52" t="s">
        <v>313</v>
      </c>
      <c r="AK14" s="102" t="s">
        <v>126</v>
      </c>
      <c r="AL14" s="102" t="s">
        <v>126</v>
      </c>
      <c r="BB14" s="30" t="s">
        <v>126</v>
      </c>
      <c r="BC14" s="30" t="s">
        <v>126</v>
      </c>
      <c r="BD14" s="26"/>
      <c r="BE14" s="26"/>
      <c r="BF14" s="169"/>
      <c r="BG14" s="169"/>
      <c r="BH14" s="65" t="s">
        <v>358</v>
      </c>
      <c r="BI14" s="67" t="s">
        <v>357</v>
      </c>
      <c r="BJ14" s="66" t="s">
        <v>272</v>
      </c>
      <c r="BK14" s="77" t="s">
        <v>273</v>
      </c>
      <c r="BL14" s="77" t="s">
        <v>273</v>
      </c>
      <c r="BM14" s="77" t="s">
        <v>273</v>
      </c>
      <c r="BN14" s="68" t="s">
        <v>358</v>
      </c>
      <c r="BO14" s="66" t="s">
        <v>357</v>
      </c>
      <c r="BP14" s="66" t="s">
        <v>272</v>
      </c>
      <c r="BS14" s="122" t="s">
        <v>273</v>
      </c>
      <c r="BT14" s="77" t="s">
        <v>273</v>
      </c>
      <c r="BU14" s="77" t="s">
        <v>273</v>
      </c>
      <c r="BV14" s="202" t="s">
        <v>126</v>
      </c>
      <c r="BW14" s="203"/>
      <c r="BX14" s="71" t="s">
        <v>750</v>
      </c>
      <c r="BY14">
        <v>111</v>
      </c>
      <c r="BZ14" t="s">
        <v>494</v>
      </c>
      <c r="CA14" t="s">
        <v>495</v>
      </c>
      <c r="CC14" s="5">
        <v>44399</v>
      </c>
      <c r="CD14" t="s">
        <v>496</v>
      </c>
      <c r="CE14">
        <v>1</v>
      </c>
      <c r="CF14" s="56">
        <v>0.10416666666666667</v>
      </c>
      <c r="CG14" s="56">
        <v>0.125</v>
      </c>
      <c r="CH14" s="56"/>
      <c r="CI14" s="56">
        <v>0.20833333333333401</v>
      </c>
      <c r="CJ14" t="s">
        <v>560</v>
      </c>
      <c r="CK14" s="118">
        <v>1</v>
      </c>
      <c r="CL14" t="s">
        <v>566</v>
      </c>
      <c r="CM14" t="s">
        <v>106</v>
      </c>
      <c r="CN14">
        <v>0</v>
      </c>
      <c r="CO14">
        <v>0</v>
      </c>
      <c r="CP14">
        <v>0</v>
      </c>
      <c r="CQ14">
        <v>1</v>
      </c>
      <c r="CR14" t="s">
        <v>567</v>
      </c>
      <c r="CS14" t="s">
        <v>126</v>
      </c>
      <c r="CT14" t="s">
        <v>126</v>
      </c>
      <c r="CX14" t="s">
        <v>108</v>
      </c>
      <c r="CY14" t="s">
        <v>108</v>
      </c>
      <c r="DB14" s="223" t="s">
        <v>998</v>
      </c>
      <c r="DC14" s="223"/>
      <c r="DD14" s="223"/>
      <c r="DE14" s="223"/>
      <c r="DF14" s="223"/>
      <c r="DG14" s="223"/>
      <c r="DH14" s="223"/>
      <c r="DI14" s="223"/>
      <c r="DJ14" s="223"/>
      <c r="DK14" s="223"/>
      <c r="DL14" s="223"/>
      <c r="DM14" s="223"/>
    </row>
    <row r="15" spans="1:117" x14ac:dyDescent="0.3">
      <c r="A15" s="61">
        <v>12</v>
      </c>
      <c r="B15" t="s">
        <v>21</v>
      </c>
      <c r="C15">
        <v>4</v>
      </c>
      <c r="E15" s="5">
        <v>44127</v>
      </c>
      <c r="F15" t="s">
        <v>19</v>
      </c>
      <c r="G15">
        <v>289</v>
      </c>
      <c r="H15" s="82">
        <v>2</v>
      </c>
      <c r="I15" t="s">
        <v>201</v>
      </c>
      <c r="J15">
        <v>1</v>
      </c>
      <c r="K15">
        <v>0</v>
      </c>
      <c r="L15">
        <v>2</v>
      </c>
      <c r="M15">
        <v>1</v>
      </c>
      <c r="N15">
        <v>1</v>
      </c>
      <c r="O15" t="s">
        <v>52</v>
      </c>
      <c r="P15" s="8" t="s">
        <v>142</v>
      </c>
      <c r="Q15" s="8" t="s">
        <v>125</v>
      </c>
      <c r="R15" s="8" t="s">
        <v>127</v>
      </c>
      <c r="S15" s="8" t="s">
        <v>126</v>
      </c>
      <c r="T15" s="11" t="s">
        <v>129</v>
      </c>
      <c r="U15" s="11" t="s">
        <v>164</v>
      </c>
      <c r="V15" s="11" t="s">
        <v>129</v>
      </c>
      <c r="W15" s="11" t="s">
        <v>126</v>
      </c>
      <c r="X15" s="11"/>
      <c r="Y15" s="11" t="s">
        <v>129</v>
      </c>
      <c r="Z15" s="26" t="s">
        <v>126</v>
      </c>
      <c r="AA15" s="26" t="s">
        <v>1007</v>
      </c>
      <c r="AC15" s="43" t="s">
        <v>181</v>
      </c>
      <c r="AD15" s="52" t="s">
        <v>181</v>
      </c>
      <c r="AE15" s="43" t="s">
        <v>311</v>
      </c>
      <c r="AF15" s="52" t="s">
        <v>758</v>
      </c>
      <c r="AG15" s="107" t="s">
        <v>477</v>
      </c>
      <c r="AH15" s="164" t="s">
        <v>771</v>
      </c>
      <c r="AI15" s="107" t="s">
        <v>314</v>
      </c>
      <c r="AJ15" s="107" t="s">
        <v>314</v>
      </c>
      <c r="AK15" s="43" t="s">
        <v>129</v>
      </c>
      <c r="AL15" s="144" t="s">
        <v>129</v>
      </c>
      <c r="AM15" s="139"/>
      <c r="AN15" s="139"/>
      <c r="AO15" s="139"/>
      <c r="AP15" s="40">
        <v>1</v>
      </c>
      <c r="AS15" t="s">
        <v>82</v>
      </c>
      <c r="AT15">
        <v>1</v>
      </c>
      <c r="AW15">
        <v>1</v>
      </c>
      <c r="AX15">
        <v>2</v>
      </c>
      <c r="AY15">
        <v>1</v>
      </c>
      <c r="AZ15">
        <v>2</v>
      </c>
      <c r="BA15" t="s">
        <v>93</v>
      </c>
      <c r="BB15" s="30" t="s">
        <v>126</v>
      </c>
      <c r="BC15" s="30" t="s">
        <v>126</v>
      </c>
      <c r="BD15" s="26"/>
      <c r="BE15" s="26"/>
      <c r="BF15" s="169"/>
      <c r="BG15" s="169"/>
      <c r="BH15" s="68" t="s">
        <v>359</v>
      </c>
      <c r="BI15" s="66" t="s">
        <v>273</v>
      </c>
      <c r="BJ15" s="66" t="s">
        <v>273</v>
      </c>
      <c r="BK15" s="66" t="s">
        <v>357</v>
      </c>
      <c r="BL15" s="66" t="s">
        <v>357</v>
      </c>
      <c r="BM15" s="67" t="s">
        <v>357</v>
      </c>
      <c r="BN15" s="68" t="s">
        <v>446</v>
      </c>
      <c r="BO15" s="66" t="s">
        <v>273</v>
      </c>
      <c r="BP15" s="66" t="s">
        <v>273</v>
      </c>
      <c r="BQ15" s="127" t="s">
        <v>605</v>
      </c>
      <c r="BR15" s="127">
        <f>265/619</f>
        <v>0.42810985460420031</v>
      </c>
      <c r="BS15" s="121" t="s">
        <v>273</v>
      </c>
      <c r="BT15" s="75" t="s">
        <v>426</v>
      </c>
      <c r="BU15" s="66" t="s">
        <v>273</v>
      </c>
      <c r="BV15" s="127" t="s">
        <v>606</v>
      </c>
      <c r="BW15" s="127">
        <f>877/1252</f>
        <v>0.70047923322683703</v>
      </c>
      <c r="BX15" s="135"/>
      <c r="BY15" s="135"/>
      <c r="BZ15" s="135"/>
      <c r="CA15" s="135"/>
      <c r="CB15" s="135"/>
      <c r="CC15" s="135"/>
      <c r="CD15" s="135"/>
      <c r="CE15" s="135"/>
      <c r="CF15" s="135"/>
      <c r="CG15" s="135"/>
      <c r="CH15" s="135"/>
      <c r="CI15" s="135"/>
      <c r="CJ15" s="135"/>
      <c r="CK15" s="135"/>
      <c r="CL15" s="135"/>
      <c r="CM15" s="135"/>
      <c r="CN15" s="135"/>
      <c r="CO15" s="135"/>
      <c r="CP15" s="135"/>
      <c r="CQ15" s="135"/>
      <c r="CR15" s="135"/>
      <c r="CS15" s="135"/>
      <c r="CT15" s="135"/>
      <c r="CX15" t="s">
        <v>108</v>
      </c>
      <c r="CY15" t="s">
        <v>108</v>
      </c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</row>
    <row r="16" spans="1:117" x14ac:dyDescent="0.3">
      <c r="A16">
        <v>13</v>
      </c>
      <c r="B16" t="s">
        <v>22</v>
      </c>
      <c r="C16">
        <v>5</v>
      </c>
      <c r="E16" s="5">
        <v>44132</v>
      </c>
      <c r="F16" t="s">
        <v>23</v>
      </c>
      <c r="G16">
        <v>293</v>
      </c>
      <c r="H16" s="82">
        <v>2</v>
      </c>
      <c r="I16" t="s">
        <v>201</v>
      </c>
      <c r="J16">
        <v>1</v>
      </c>
      <c r="K16">
        <v>1</v>
      </c>
      <c r="L16">
        <v>2</v>
      </c>
      <c r="M16">
        <v>1</v>
      </c>
      <c r="N16">
        <v>0</v>
      </c>
      <c r="O16" t="s">
        <v>53</v>
      </c>
      <c r="Q16" s="8" t="s">
        <v>125</v>
      </c>
      <c r="R16" s="8" t="s">
        <v>127</v>
      </c>
      <c r="S16" s="8" t="s">
        <v>126</v>
      </c>
      <c r="T16" s="22" t="s">
        <v>126</v>
      </c>
      <c r="V16" s="22" t="s">
        <v>126</v>
      </c>
      <c r="W16" s="11" t="s">
        <v>129</v>
      </c>
      <c r="X16" s="11" t="s">
        <v>163</v>
      </c>
      <c r="Y16" s="12" t="s">
        <v>126</v>
      </c>
      <c r="AA16" s="26" t="s">
        <v>1006</v>
      </c>
      <c r="AI16" s="42" t="s">
        <v>314</v>
      </c>
      <c r="AJ16" s="42" t="s">
        <v>314</v>
      </c>
      <c r="AK16" s="42" t="s">
        <v>126</v>
      </c>
      <c r="AL16" s="42" t="s">
        <v>126</v>
      </c>
      <c r="AM16" s="139"/>
      <c r="AN16" s="139"/>
      <c r="AO16" s="139"/>
      <c r="AP16" s="40">
        <v>1</v>
      </c>
      <c r="AS16" t="s">
        <v>94</v>
      </c>
      <c r="AT16">
        <v>1</v>
      </c>
      <c r="AW16">
        <v>0</v>
      </c>
      <c r="AX16">
        <v>0</v>
      </c>
      <c r="AY16">
        <v>1</v>
      </c>
      <c r="AZ16">
        <v>2</v>
      </c>
      <c r="BA16" t="s">
        <v>95</v>
      </c>
      <c r="BB16" s="30" t="s">
        <v>126</v>
      </c>
      <c r="BC16" s="30" t="s">
        <v>126</v>
      </c>
      <c r="BD16" s="26"/>
      <c r="BE16" s="26"/>
      <c r="BF16" s="26"/>
      <c r="BG16" s="26"/>
      <c r="BH16"/>
      <c r="BN16"/>
      <c r="BQ16" s="202" t="s">
        <v>424</v>
      </c>
      <c r="BR16" s="203"/>
      <c r="BV16" s="202" t="s">
        <v>424</v>
      </c>
      <c r="BW16" s="203"/>
      <c r="BX16" s="71" t="s">
        <v>750</v>
      </c>
      <c r="BY16">
        <v>113</v>
      </c>
      <c r="BZ16" t="s">
        <v>497</v>
      </c>
      <c r="CA16" t="s">
        <v>498</v>
      </c>
      <c r="CC16" s="5">
        <v>44410</v>
      </c>
      <c r="CE16">
        <v>1</v>
      </c>
      <c r="CF16" s="56">
        <v>6.458333333333334E-2</v>
      </c>
      <c r="CG16" s="56">
        <v>6.25E-2</v>
      </c>
      <c r="CH16" s="56"/>
      <c r="CI16" s="56">
        <v>0.1673611111111111</v>
      </c>
      <c r="CJ16" t="s">
        <v>568</v>
      </c>
      <c r="CK16" s="118">
        <v>1</v>
      </c>
      <c r="CL16" t="s">
        <v>569</v>
      </c>
      <c r="CM16" t="s">
        <v>569</v>
      </c>
      <c r="CN16" t="s">
        <v>569</v>
      </c>
      <c r="CO16" t="s">
        <v>569</v>
      </c>
      <c r="CP16">
        <v>1</v>
      </c>
      <c r="CQ16">
        <v>1</v>
      </c>
      <c r="CS16" t="s">
        <v>126</v>
      </c>
      <c r="CT16" t="s">
        <v>126</v>
      </c>
      <c r="CX16" t="s">
        <v>108</v>
      </c>
      <c r="CY16" t="s">
        <v>108</v>
      </c>
      <c r="DB16" t="s">
        <v>999</v>
      </c>
      <c r="DD16" t="s">
        <v>1000</v>
      </c>
      <c r="DF16" t="s">
        <v>999</v>
      </c>
      <c r="DH16" t="s">
        <v>1000</v>
      </c>
      <c r="DJ16" t="s">
        <v>424</v>
      </c>
      <c r="DL16" t="s">
        <v>424</v>
      </c>
    </row>
    <row r="17" spans="1:117" x14ac:dyDescent="0.3">
      <c r="A17" s="61">
        <v>14</v>
      </c>
      <c r="B17" t="s">
        <v>24</v>
      </c>
      <c r="C17">
        <v>6</v>
      </c>
      <c r="E17" s="5">
        <v>44134</v>
      </c>
      <c r="F17" t="s">
        <v>25</v>
      </c>
      <c r="G17">
        <v>292</v>
      </c>
      <c r="H17" s="82">
        <v>2</v>
      </c>
      <c r="I17" t="s">
        <v>201</v>
      </c>
      <c r="J17">
        <v>1</v>
      </c>
      <c r="K17">
        <v>0</v>
      </c>
      <c r="L17">
        <v>1</v>
      </c>
      <c r="M17">
        <v>1</v>
      </c>
      <c r="N17">
        <v>1</v>
      </c>
      <c r="O17" t="s">
        <v>54</v>
      </c>
      <c r="P17" s="8" t="s">
        <v>162</v>
      </c>
      <c r="Q17" s="8" t="s">
        <v>125</v>
      </c>
      <c r="R17" s="8" t="s">
        <v>127</v>
      </c>
      <c r="S17" s="8" t="s">
        <v>126</v>
      </c>
      <c r="T17" s="11" t="s">
        <v>129</v>
      </c>
      <c r="U17" s="11" t="s">
        <v>126</v>
      </c>
      <c r="V17" s="11" t="s">
        <v>129</v>
      </c>
      <c r="W17" s="11" t="s">
        <v>126</v>
      </c>
      <c r="X17" s="11"/>
      <c r="Y17" s="11" t="s">
        <v>129</v>
      </c>
      <c r="Z17" s="26" t="s">
        <v>129</v>
      </c>
      <c r="AA17" s="178">
        <v>1</v>
      </c>
      <c r="AB17" s="178" t="s">
        <v>1024</v>
      </c>
      <c r="AC17" s="106" t="s">
        <v>307</v>
      </c>
      <c r="AD17" s="106" t="s">
        <v>307</v>
      </c>
      <c r="AE17" s="43" t="s">
        <v>312</v>
      </c>
      <c r="AF17" s="52" t="s">
        <v>758</v>
      </c>
      <c r="AG17" s="107" t="s">
        <v>477</v>
      </c>
      <c r="AH17" s="164" t="s">
        <v>772</v>
      </c>
      <c r="AI17" s="107" t="s">
        <v>314</v>
      </c>
      <c r="AJ17" s="107" t="s">
        <v>314</v>
      </c>
      <c r="AK17" s="43" t="s">
        <v>129</v>
      </c>
      <c r="AL17" s="43" t="s">
        <v>129</v>
      </c>
      <c r="AM17" s="141"/>
      <c r="AN17" s="141"/>
      <c r="AO17" s="149"/>
      <c r="AP17" s="40">
        <v>1</v>
      </c>
      <c r="AS17" t="s">
        <v>82</v>
      </c>
      <c r="AT17">
        <v>1</v>
      </c>
      <c r="AW17">
        <v>0</v>
      </c>
      <c r="AX17">
        <v>0</v>
      </c>
      <c r="AY17">
        <v>2</v>
      </c>
      <c r="AZ17">
        <v>2</v>
      </c>
      <c r="BA17" t="s">
        <v>96</v>
      </c>
      <c r="BB17" s="30" t="s">
        <v>126</v>
      </c>
      <c r="BC17" s="30" t="s">
        <v>126</v>
      </c>
      <c r="BD17" s="26"/>
      <c r="BE17" s="26"/>
      <c r="BF17" s="169"/>
      <c r="BG17" s="169"/>
      <c r="BH17" s="68" t="s">
        <v>358</v>
      </c>
      <c r="BI17" s="66" t="s">
        <v>357</v>
      </c>
      <c r="BJ17" s="66" t="s">
        <v>272</v>
      </c>
      <c r="BK17" s="67" t="s">
        <v>358</v>
      </c>
      <c r="BL17" s="66" t="s">
        <v>357</v>
      </c>
      <c r="BM17" s="66" t="s">
        <v>359</v>
      </c>
      <c r="BN17" s="68" t="s">
        <v>358</v>
      </c>
      <c r="BO17" s="66" t="s">
        <v>357</v>
      </c>
      <c r="BP17" s="66" t="s">
        <v>273</v>
      </c>
      <c r="BQ17" s="128" t="s">
        <v>607</v>
      </c>
      <c r="BR17" s="128">
        <f>0/506</f>
        <v>0</v>
      </c>
      <c r="BS17" s="123" t="s">
        <v>358</v>
      </c>
      <c r="BT17" s="66" t="s">
        <v>357</v>
      </c>
      <c r="BU17" s="66" t="s">
        <v>359</v>
      </c>
      <c r="BV17" s="128" t="s">
        <v>608</v>
      </c>
      <c r="BW17" s="128">
        <f>0/689</f>
        <v>0</v>
      </c>
      <c r="BX17" s="71" t="s">
        <v>750</v>
      </c>
      <c r="BY17">
        <v>114</v>
      </c>
      <c r="BZ17" t="s">
        <v>499</v>
      </c>
      <c r="CA17" t="s">
        <v>478</v>
      </c>
      <c r="CC17" s="5">
        <v>44434</v>
      </c>
      <c r="CD17" t="s">
        <v>500</v>
      </c>
      <c r="CE17">
        <v>1</v>
      </c>
      <c r="CF17" s="56">
        <v>0.10416666666666667</v>
      </c>
      <c r="CG17" s="56">
        <v>0.125</v>
      </c>
      <c r="CH17" s="56"/>
      <c r="CI17" s="56">
        <v>0.20833333333333401</v>
      </c>
      <c r="CJ17" t="s">
        <v>82</v>
      </c>
      <c r="CK17" s="118">
        <v>1</v>
      </c>
      <c r="CL17" t="s">
        <v>570</v>
      </c>
      <c r="CM17" t="s">
        <v>259</v>
      </c>
      <c r="CN17">
        <v>1</v>
      </c>
      <c r="CO17">
        <v>0</v>
      </c>
      <c r="CP17">
        <v>1</v>
      </c>
      <c r="CQ17">
        <v>1</v>
      </c>
      <c r="CR17" t="s">
        <v>571</v>
      </c>
      <c r="CS17" s="133" t="s">
        <v>129</v>
      </c>
      <c r="CT17" s="133" t="s">
        <v>129</v>
      </c>
      <c r="CX17" t="s">
        <v>768</v>
      </c>
      <c r="CY17" s="170" t="s">
        <v>834</v>
      </c>
      <c r="DB17" t="s">
        <v>895</v>
      </c>
      <c r="DC17" s="175">
        <v>0</v>
      </c>
      <c r="DD17" t="s">
        <v>890</v>
      </c>
      <c r="DE17" s="175">
        <v>0</v>
      </c>
      <c r="DF17" t="s">
        <v>891</v>
      </c>
      <c r="DG17" s="175">
        <v>0</v>
      </c>
      <c r="DH17" t="s">
        <v>892</v>
      </c>
      <c r="DI17" s="175">
        <v>0</v>
      </c>
      <c r="DJ17" t="s">
        <v>893</v>
      </c>
      <c r="DK17" s="175">
        <v>0</v>
      </c>
      <c r="DL17" t="s">
        <v>894</v>
      </c>
      <c r="DM17" s="175">
        <f>4/664</f>
        <v>6.024096385542169E-3</v>
      </c>
    </row>
    <row r="18" spans="1:117" x14ac:dyDescent="0.3">
      <c r="A18">
        <v>15</v>
      </c>
      <c r="B18" t="s">
        <v>26</v>
      </c>
      <c r="C18">
        <v>7</v>
      </c>
      <c r="E18" s="5">
        <v>44141</v>
      </c>
      <c r="F18" t="s">
        <v>27</v>
      </c>
      <c r="G18">
        <v>301</v>
      </c>
      <c r="H18" s="82">
        <v>1</v>
      </c>
      <c r="I18" t="s">
        <v>200</v>
      </c>
      <c r="J18">
        <v>1</v>
      </c>
      <c r="K18">
        <v>0</v>
      </c>
      <c r="L18">
        <v>2</v>
      </c>
      <c r="M18">
        <v>1</v>
      </c>
      <c r="N18">
        <v>1</v>
      </c>
      <c r="O18" t="s">
        <v>55</v>
      </c>
      <c r="Q18" s="8" t="s">
        <v>125</v>
      </c>
      <c r="R18" s="8" t="s">
        <v>128</v>
      </c>
      <c r="S18" s="8" t="s">
        <v>126</v>
      </c>
      <c r="T18" s="11" t="s">
        <v>126</v>
      </c>
      <c r="V18" s="11" t="s">
        <v>126</v>
      </c>
      <c r="W18" s="11" t="s">
        <v>129</v>
      </c>
      <c r="X18" s="22" t="s">
        <v>136</v>
      </c>
      <c r="Y18" s="12" t="s">
        <v>126</v>
      </c>
      <c r="AA18" s="26" t="s">
        <v>1005</v>
      </c>
      <c r="AK18" s="26" t="s">
        <v>126</v>
      </c>
      <c r="AL18" s="26" t="s">
        <v>126</v>
      </c>
      <c r="AP18" s="40">
        <v>1</v>
      </c>
      <c r="AS18" t="s">
        <v>82</v>
      </c>
      <c r="AT18" s="9">
        <v>1</v>
      </c>
      <c r="AW18">
        <v>0</v>
      </c>
      <c r="AX18">
        <v>2</v>
      </c>
      <c r="AY18">
        <v>1</v>
      </c>
      <c r="AZ18">
        <v>2</v>
      </c>
      <c r="BA18" t="s">
        <v>97</v>
      </c>
      <c r="BB18" s="30" t="s">
        <v>126</v>
      </c>
      <c r="BC18" s="30" t="s">
        <v>126</v>
      </c>
      <c r="BD18" s="26"/>
      <c r="BE18" s="26"/>
      <c r="BF18" s="170" t="s">
        <v>865</v>
      </c>
      <c r="BG18" s="170" t="s">
        <v>866</v>
      </c>
      <c r="BH18" s="40" t="s">
        <v>360</v>
      </c>
      <c r="BI18" t="s">
        <v>273</v>
      </c>
      <c r="BJ18" t="s">
        <v>273</v>
      </c>
      <c r="BK18" t="s">
        <v>357</v>
      </c>
      <c r="BL18" t="s">
        <v>357</v>
      </c>
      <c r="BM18" t="s">
        <v>357</v>
      </c>
      <c r="BN18" s="40" t="s">
        <v>359</v>
      </c>
      <c r="BO18" t="s">
        <v>272</v>
      </c>
      <c r="BP18" t="s">
        <v>273</v>
      </c>
      <c r="BQ18" s="183"/>
      <c r="BR18" s="183"/>
      <c r="BS18" s="81" t="s">
        <v>357</v>
      </c>
      <c r="BT18" t="s">
        <v>273</v>
      </c>
      <c r="BU18" t="s">
        <v>357</v>
      </c>
      <c r="BV18" s="183"/>
      <c r="BW18" s="183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35"/>
      <c r="CT18" s="135"/>
      <c r="CX18" t="s">
        <v>108</v>
      </c>
      <c r="CY18" t="s">
        <v>108</v>
      </c>
      <c r="DB18" s="135"/>
      <c r="DC18" s="135"/>
      <c r="DD18" s="135"/>
      <c r="DE18" s="135"/>
      <c r="DF18" s="135"/>
      <c r="DG18" s="135"/>
      <c r="DH18" s="135"/>
      <c r="DI18" s="135"/>
      <c r="DJ18" s="135"/>
      <c r="DK18" s="135"/>
      <c r="DL18" s="135"/>
      <c r="DM18" s="135"/>
    </row>
    <row r="19" spans="1:117" x14ac:dyDescent="0.3">
      <c r="A19" s="61">
        <v>16</v>
      </c>
      <c r="B19" t="s">
        <v>28</v>
      </c>
      <c r="C19">
        <v>8</v>
      </c>
      <c r="E19" s="5">
        <v>44147</v>
      </c>
      <c r="F19" t="s">
        <v>29</v>
      </c>
      <c r="G19">
        <v>286</v>
      </c>
      <c r="H19" s="82">
        <v>1</v>
      </c>
      <c r="I19" t="s">
        <v>200</v>
      </c>
      <c r="J19">
        <v>1</v>
      </c>
      <c r="K19">
        <v>0</v>
      </c>
      <c r="L19">
        <v>2</v>
      </c>
      <c r="M19">
        <v>1</v>
      </c>
      <c r="N19">
        <v>1</v>
      </c>
      <c r="O19" t="s">
        <v>56</v>
      </c>
      <c r="P19" s="8" t="s">
        <v>143</v>
      </c>
      <c r="Q19" s="8" t="s">
        <v>125</v>
      </c>
      <c r="R19" s="8" t="s">
        <v>129</v>
      </c>
      <c r="S19" s="8" t="s">
        <v>126</v>
      </c>
      <c r="T19" s="11" t="s">
        <v>129</v>
      </c>
      <c r="U19" s="11" t="s">
        <v>126</v>
      </c>
      <c r="V19" s="11" t="s">
        <v>129</v>
      </c>
      <c r="W19" s="11" t="s">
        <v>126</v>
      </c>
      <c r="X19" s="11"/>
      <c r="Y19" s="11" t="s">
        <v>129</v>
      </c>
      <c r="Z19" s="26" t="s">
        <v>126</v>
      </c>
      <c r="AA19" s="26" t="s">
        <v>1009</v>
      </c>
      <c r="AC19" s="107" t="s">
        <v>307</v>
      </c>
      <c r="AD19" s="106" t="s">
        <v>307</v>
      </c>
      <c r="AE19" s="43" t="s">
        <v>312</v>
      </c>
      <c r="AF19" s="52" t="s">
        <v>759</v>
      </c>
      <c r="AG19" s="43" t="s">
        <v>423</v>
      </c>
      <c r="AH19" s="163" t="s">
        <v>770</v>
      </c>
      <c r="AI19" s="43" t="s">
        <v>313</v>
      </c>
      <c r="AJ19" s="52" t="s">
        <v>313</v>
      </c>
      <c r="AK19" s="102" t="s">
        <v>129</v>
      </c>
      <c r="AL19" s="145" t="s">
        <v>129</v>
      </c>
      <c r="AP19" s="40">
        <v>1</v>
      </c>
      <c r="AQ19" s="3">
        <v>1.736111111111111E-3</v>
      </c>
      <c r="AR19" t="s">
        <v>98</v>
      </c>
      <c r="AS19" t="s">
        <v>99</v>
      </c>
      <c r="AT19">
        <v>1</v>
      </c>
      <c r="AW19">
        <v>1</v>
      </c>
      <c r="AX19">
        <v>1</v>
      </c>
      <c r="AY19">
        <v>1</v>
      </c>
      <c r="AZ19">
        <v>2</v>
      </c>
      <c r="BA19" t="s">
        <v>100</v>
      </c>
      <c r="BB19" s="109" t="s">
        <v>129</v>
      </c>
      <c r="BC19" s="109" t="s">
        <v>129</v>
      </c>
      <c r="BD19" s="26"/>
      <c r="BE19" s="26"/>
      <c r="BF19" s="169"/>
      <c r="BG19" s="169"/>
      <c r="BH19" s="75" t="s">
        <v>427</v>
      </c>
      <c r="BI19" s="66" t="s">
        <v>273</v>
      </c>
      <c r="BJ19" s="66" t="s">
        <v>273</v>
      </c>
      <c r="BK19" s="67" t="s">
        <v>357</v>
      </c>
      <c r="BL19" s="66" t="s">
        <v>272</v>
      </c>
      <c r="BM19" s="66" t="s">
        <v>272</v>
      </c>
      <c r="BN19" s="75" t="s">
        <v>427</v>
      </c>
      <c r="BO19" s="66" t="s">
        <v>273</v>
      </c>
      <c r="BP19" s="66" t="s">
        <v>273</v>
      </c>
      <c r="BQ19" s="127" t="s">
        <v>610</v>
      </c>
      <c r="BR19" s="127">
        <f>141/333</f>
        <v>0.42342342342342343</v>
      </c>
      <c r="BS19" s="123" t="s">
        <v>358</v>
      </c>
      <c r="BT19" s="66" t="s">
        <v>273</v>
      </c>
      <c r="BU19" s="66" t="s">
        <v>272</v>
      </c>
      <c r="BV19" s="126" t="s">
        <v>611</v>
      </c>
      <c r="BW19" s="126">
        <f>17/495</f>
        <v>3.4343434343434343E-2</v>
      </c>
      <c r="BX19" s="137"/>
      <c r="BY19">
        <v>116</v>
      </c>
      <c r="BZ19" t="s">
        <v>505</v>
      </c>
      <c r="CA19">
        <v>5</v>
      </c>
      <c r="CC19" s="5">
        <v>44452</v>
      </c>
      <c r="CD19" t="s">
        <v>506</v>
      </c>
      <c r="CE19">
        <v>1</v>
      </c>
      <c r="CF19" s="56">
        <v>0.10416666666666667</v>
      </c>
      <c r="CG19" s="56">
        <v>0.125</v>
      </c>
      <c r="CH19" t="s">
        <v>572</v>
      </c>
      <c r="CI19" s="56">
        <v>0.20833333333333334</v>
      </c>
      <c r="CJ19" t="s">
        <v>560</v>
      </c>
      <c r="CK19" s="118">
        <v>1</v>
      </c>
      <c r="CL19" t="s">
        <v>210</v>
      </c>
      <c r="CM19" t="s">
        <v>223</v>
      </c>
      <c r="CN19">
        <v>2</v>
      </c>
      <c r="CO19">
        <v>1</v>
      </c>
      <c r="CP19">
        <v>2</v>
      </c>
      <c r="CQ19">
        <v>2</v>
      </c>
      <c r="CR19" t="s">
        <v>575</v>
      </c>
      <c r="CS19" s="133" t="s">
        <v>129</v>
      </c>
      <c r="CT19" s="133" t="s">
        <v>129</v>
      </c>
      <c r="CU19" s="147"/>
      <c r="CX19" t="s">
        <v>768</v>
      </c>
      <c r="CY19" s="170" t="s">
        <v>835</v>
      </c>
      <c r="DB19" t="s">
        <v>900</v>
      </c>
      <c r="DC19" s="175">
        <f>10/252</f>
        <v>3.968253968253968E-2</v>
      </c>
      <c r="DD19" t="s">
        <v>901</v>
      </c>
      <c r="DE19" s="175">
        <v>0</v>
      </c>
      <c r="DF19" t="s">
        <v>896</v>
      </c>
      <c r="DG19" s="175">
        <v>0</v>
      </c>
      <c r="DH19" t="s">
        <v>897</v>
      </c>
      <c r="DI19" s="175">
        <v>0</v>
      </c>
      <c r="DJ19" t="s">
        <v>898</v>
      </c>
      <c r="DK19" s="175">
        <f>3/438</f>
        <v>6.8493150684931503E-3</v>
      </c>
      <c r="DL19" t="s">
        <v>899</v>
      </c>
      <c r="DM19" s="175">
        <v>0</v>
      </c>
    </row>
    <row r="20" spans="1:117" x14ac:dyDescent="0.3">
      <c r="A20" s="61">
        <v>17</v>
      </c>
      <c r="B20" t="s">
        <v>30</v>
      </c>
      <c r="C20">
        <v>1</v>
      </c>
      <c r="E20" s="5">
        <v>44147</v>
      </c>
      <c r="F20" t="s">
        <v>25</v>
      </c>
      <c r="G20">
        <v>292</v>
      </c>
      <c r="H20" s="82">
        <v>2</v>
      </c>
      <c r="I20" t="s">
        <v>201</v>
      </c>
      <c r="J20">
        <v>1</v>
      </c>
      <c r="K20">
        <v>1</v>
      </c>
      <c r="L20">
        <v>2</v>
      </c>
      <c r="M20" t="s">
        <v>57</v>
      </c>
      <c r="N20">
        <v>1</v>
      </c>
      <c r="O20" t="s">
        <v>58</v>
      </c>
      <c r="P20" s="8" t="s">
        <v>144</v>
      </c>
      <c r="Q20" s="8" t="s">
        <v>125</v>
      </c>
      <c r="R20" s="8" t="s">
        <v>129</v>
      </c>
      <c r="S20" s="8" t="s">
        <v>126</v>
      </c>
      <c r="T20" s="11" t="s">
        <v>129</v>
      </c>
      <c r="U20" s="11" t="s">
        <v>164</v>
      </c>
      <c r="V20" s="11" t="s">
        <v>129</v>
      </c>
      <c r="W20" s="11" t="s">
        <v>126</v>
      </c>
      <c r="X20" s="11"/>
      <c r="Y20" s="11" t="s">
        <v>129</v>
      </c>
      <c r="Z20" s="26" t="s">
        <v>126</v>
      </c>
      <c r="AA20" s="178">
        <v>1</v>
      </c>
      <c r="AB20" s="178" t="s">
        <v>1025</v>
      </c>
      <c r="AC20" s="106" t="s">
        <v>307</v>
      </c>
      <c r="AD20" s="106" t="s">
        <v>307</v>
      </c>
      <c r="AE20" s="43" t="s">
        <v>309</v>
      </c>
      <c r="AF20" s="52" t="s">
        <v>758</v>
      </c>
      <c r="AG20" s="43" t="s">
        <v>423</v>
      </c>
      <c r="AH20" s="163" t="s">
        <v>770</v>
      </c>
      <c r="AI20" s="43" t="s">
        <v>313</v>
      </c>
      <c r="AJ20" s="52" t="s">
        <v>313</v>
      </c>
      <c r="AK20" s="102" t="s">
        <v>129</v>
      </c>
      <c r="AL20" s="102" t="s">
        <v>129</v>
      </c>
      <c r="AM20" s="142"/>
      <c r="AN20" s="142"/>
      <c r="AO20" s="150"/>
      <c r="AP20" s="40">
        <v>1</v>
      </c>
      <c r="AS20" t="s">
        <v>82</v>
      </c>
      <c r="AT20">
        <v>1</v>
      </c>
      <c r="AW20" t="s">
        <v>101</v>
      </c>
      <c r="AY20">
        <v>2</v>
      </c>
      <c r="AZ20" t="s">
        <v>102</v>
      </c>
      <c r="BA20" t="s">
        <v>103</v>
      </c>
      <c r="BB20" s="30" t="s">
        <v>126</v>
      </c>
      <c r="BC20" s="30" t="s">
        <v>126</v>
      </c>
      <c r="BD20" s="26"/>
      <c r="BE20" s="26"/>
      <c r="BF20" s="169"/>
      <c r="BG20" s="169"/>
      <c r="BH20" s="65" t="s">
        <v>272</v>
      </c>
      <c r="BI20" s="67" t="s">
        <v>357</v>
      </c>
      <c r="BJ20" s="66" t="s">
        <v>357</v>
      </c>
      <c r="BK20" s="67" t="s">
        <v>272</v>
      </c>
      <c r="BL20" s="66" t="s">
        <v>273</v>
      </c>
      <c r="BM20" s="66" t="s">
        <v>273</v>
      </c>
      <c r="BN20" s="65" t="s">
        <v>272</v>
      </c>
      <c r="BO20" s="66" t="s">
        <v>272</v>
      </c>
      <c r="BP20" s="67" t="s">
        <v>357</v>
      </c>
      <c r="BQ20" s="128" t="s">
        <v>601</v>
      </c>
      <c r="BR20" s="128">
        <f>0/382</f>
        <v>0</v>
      </c>
      <c r="BS20" s="123" t="s">
        <v>357</v>
      </c>
      <c r="BT20" s="66" t="s">
        <v>273</v>
      </c>
      <c r="BU20" s="66" t="s">
        <v>273</v>
      </c>
      <c r="BV20" s="128" t="s">
        <v>612</v>
      </c>
      <c r="BW20" s="128">
        <f>90/717</f>
        <v>0.12552301255230125</v>
      </c>
      <c r="BX20" s="135"/>
      <c r="BY20" s="135"/>
      <c r="BZ20" s="135"/>
      <c r="CA20" s="135"/>
      <c r="CB20" s="135"/>
      <c r="CC20" s="135"/>
      <c r="CD20" s="135"/>
      <c r="CE20" s="135"/>
      <c r="CF20" s="135"/>
      <c r="CG20" s="135"/>
      <c r="CH20" s="135"/>
      <c r="CI20" s="135"/>
      <c r="CJ20" s="135"/>
      <c r="CK20" s="135"/>
      <c r="CL20" s="135"/>
      <c r="CM20" s="135"/>
      <c r="CN20" s="135"/>
      <c r="CO20" s="135"/>
      <c r="CP20" s="135"/>
      <c r="CQ20" s="135"/>
      <c r="CR20" s="135"/>
      <c r="CS20" s="135"/>
      <c r="CT20" s="135"/>
      <c r="CX20" t="s">
        <v>108</v>
      </c>
      <c r="CY20" t="s">
        <v>108</v>
      </c>
      <c r="DB20" s="135"/>
      <c r="DC20" s="135"/>
      <c r="DD20" s="135"/>
      <c r="DE20" s="135"/>
      <c r="DF20" s="135"/>
      <c r="DG20" s="135"/>
      <c r="DH20" s="135"/>
      <c r="DI20" s="135"/>
      <c r="DJ20" s="135"/>
      <c r="DK20" s="135"/>
      <c r="DL20" s="135"/>
      <c r="DM20" s="135"/>
    </row>
    <row r="21" spans="1:117" x14ac:dyDescent="0.3">
      <c r="A21" s="61">
        <v>18</v>
      </c>
      <c r="B21" t="s">
        <v>31</v>
      </c>
      <c r="C21">
        <v>2</v>
      </c>
      <c r="E21" s="5">
        <v>44148</v>
      </c>
      <c r="F21" t="s">
        <v>32</v>
      </c>
      <c r="G21">
        <v>290</v>
      </c>
      <c r="H21" s="82">
        <v>1</v>
      </c>
      <c r="I21" t="s">
        <v>200</v>
      </c>
      <c r="J21">
        <v>1</v>
      </c>
      <c r="K21">
        <v>0</v>
      </c>
      <c r="L21">
        <v>2</v>
      </c>
      <c r="M21">
        <v>1</v>
      </c>
      <c r="N21">
        <v>1</v>
      </c>
      <c r="P21" s="8" t="s">
        <v>145</v>
      </c>
      <c r="Q21" s="8" t="s">
        <v>125</v>
      </c>
      <c r="R21" s="8" t="s">
        <v>129</v>
      </c>
      <c r="S21" s="8" t="s">
        <v>126</v>
      </c>
      <c r="T21" s="11" t="s">
        <v>129</v>
      </c>
      <c r="U21" s="11" t="s">
        <v>176</v>
      </c>
      <c r="V21" s="11" t="s">
        <v>129</v>
      </c>
      <c r="W21" s="11" t="s">
        <v>126</v>
      </c>
      <c r="X21" s="11"/>
      <c r="Y21" s="11" t="s">
        <v>129</v>
      </c>
      <c r="Z21" s="26" t="s">
        <v>126</v>
      </c>
      <c r="AA21" s="26" t="s">
        <v>585</v>
      </c>
      <c r="AC21" s="43" t="s">
        <v>181</v>
      </c>
      <c r="AD21" s="52" t="s">
        <v>181</v>
      </c>
      <c r="AE21" s="43" t="s">
        <v>309</v>
      </c>
      <c r="AF21" s="52" t="s">
        <v>758</v>
      </c>
      <c r="AG21" s="107" t="s">
        <v>476</v>
      </c>
      <c r="AH21" s="163" t="s">
        <v>773</v>
      </c>
      <c r="AI21" s="43" t="s">
        <v>313</v>
      </c>
      <c r="AJ21" s="52" t="s">
        <v>313</v>
      </c>
      <c r="AK21" s="102" t="s">
        <v>126</v>
      </c>
      <c r="AL21" s="102" t="s">
        <v>126</v>
      </c>
      <c r="AP21" s="40">
        <v>1</v>
      </c>
      <c r="AS21" t="s">
        <v>82</v>
      </c>
      <c r="AT21">
        <v>1</v>
      </c>
      <c r="AW21">
        <v>1</v>
      </c>
      <c r="AX21">
        <v>2</v>
      </c>
      <c r="AY21">
        <v>2</v>
      </c>
      <c r="AZ21">
        <v>2</v>
      </c>
      <c r="BA21" t="s">
        <v>104</v>
      </c>
      <c r="BB21" s="30" t="s">
        <v>126</v>
      </c>
      <c r="BC21" s="30" t="s">
        <v>126</v>
      </c>
      <c r="BD21" s="26"/>
      <c r="BE21" s="26"/>
      <c r="BF21" s="169"/>
      <c r="BG21" s="169"/>
      <c r="BH21" s="77" t="s">
        <v>424</v>
      </c>
      <c r="BI21" s="77" t="s">
        <v>424</v>
      </c>
      <c r="BJ21" s="77" t="s">
        <v>424</v>
      </c>
      <c r="BK21" s="77" t="s">
        <v>424</v>
      </c>
      <c r="BL21" s="77" t="s">
        <v>424</v>
      </c>
      <c r="BM21" s="77" t="s">
        <v>424</v>
      </c>
      <c r="BN21" s="77" t="s">
        <v>424</v>
      </c>
      <c r="BO21" s="77" t="s">
        <v>424</v>
      </c>
      <c r="BP21" s="77" t="s">
        <v>424</v>
      </c>
      <c r="BS21" s="122" t="s">
        <v>424</v>
      </c>
      <c r="BT21" s="77" t="s">
        <v>424</v>
      </c>
      <c r="BU21" s="77" t="s">
        <v>424</v>
      </c>
      <c r="BX21" s="137"/>
      <c r="BY21">
        <v>118</v>
      </c>
      <c r="BZ21" t="s">
        <v>501</v>
      </c>
      <c r="CA21" t="s">
        <v>502</v>
      </c>
      <c r="CC21" s="5">
        <v>44440</v>
      </c>
      <c r="CE21">
        <v>1</v>
      </c>
      <c r="CF21" s="56">
        <v>0.10416666666666667</v>
      </c>
      <c r="CG21" s="56">
        <v>0.125</v>
      </c>
      <c r="CH21" s="56" t="s">
        <v>572</v>
      </c>
      <c r="CI21" s="56">
        <v>0.20833333333333334</v>
      </c>
      <c r="CJ21" t="s">
        <v>560</v>
      </c>
      <c r="CK21" s="118"/>
      <c r="CL21" t="s">
        <v>573</v>
      </c>
      <c r="CM21" t="s">
        <v>155</v>
      </c>
      <c r="CN21">
        <v>2</v>
      </c>
      <c r="CO21">
        <v>0</v>
      </c>
      <c r="CP21">
        <v>2</v>
      </c>
      <c r="CQ21">
        <v>2</v>
      </c>
      <c r="CS21" s="133" t="s">
        <v>129</v>
      </c>
      <c r="CT21" s="133" t="s">
        <v>129</v>
      </c>
      <c r="CX21" t="s">
        <v>768</v>
      </c>
      <c r="CY21" s="170" t="s">
        <v>836</v>
      </c>
      <c r="DB21" t="s">
        <v>906</v>
      </c>
      <c r="DC21" s="175">
        <v>0</v>
      </c>
      <c r="DD21" t="s">
        <v>907</v>
      </c>
      <c r="DE21" s="174">
        <f>62/292</f>
        <v>0.21232876712328766</v>
      </c>
      <c r="DF21" t="s">
        <v>902</v>
      </c>
      <c r="DG21" s="175">
        <v>0</v>
      </c>
      <c r="DH21" t="s">
        <v>903</v>
      </c>
      <c r="DI21" s="175">
        <v>0</v>
      </c>
      <c r="DJ21" t="s">
        <v>904</v>
      </c>
      <c r="DK21" s="175">
        <f>3/396</f>
        <v>7.575757575757576E-3</v>
      </c>
      <c r="DL21" t="s">
        <v>905</v>
      </c>
      <c r="DM21" s="175">
        <f>6/529</f>
        <v>1.1342155009451797E-2</v>
      </c>
    </row>
    <row r="22" spans="1:117" x14ac:dyDescent="0.3">
      <c r="A22" s="61">
        <v>19</v>
      </c>
      <c r="B22" t="s">
        <v>33</v>
      </c>
      <c r="C22">
        <v>8</v>
      </c>
      <c r="E22" s="5">
        <v>44172</v>
      </c>
      <c r="F22" t="s">
        <v>9</v>
      </c>
      <c r="G22">
        <v>303</v>
      </c>
      <c r="H22" s="82">
        <v>1</v>
      </c>
      <c r="I22" t="s">
        <v>200</v>
      </c>
      <c r="J22">
        <v>1</v>
      </c>
      <c r="K22">
        <v>0</v>
      </c>
      <c r="L22">
        <v>2</v>
      </c>
      <c r="M22">
        <v>1</v>
      </c>
      <c r="N22">
        <v>1</v>
      </c>
      <c r="P22" s="8" t="s">
        <v>146</v>
      </c>
      <c r="Q22" s="8" t="s">
        <v>125</v>
      </c>
      <c r="R22" s="8" t="s">
        <v>129</v>
      </c>
      <c r="S22" s="8" t="s">
        <v>126</v>
      </c>
      <c r="T22" s="11" t="s">
        <v>129</v>
      </c>
      <c r="U22" s="11" t="s">
        <v>126</v>
      </c>
      <c r="V22" s="11" t="s">
        <v>129</v>
      </c>
      <c r="W22" s="11" t="s">
        <v>126</v>
      </c>
      <c r="X22" s="11"/>
      <c r="Y22" s="11" t="s">
        <v>129</v>
      </c>
      <c r="Z22" s="26" t="s">
        <v>129</v>
      </c>
      <c r="AA22" s="178">
        <v>1</v>
      </c>
      <c r="AB22" s="178" t="s">
        <v>1026</v>
      </c>
      <c r="AC22" s="43" t="s">
        <v>181</v>
      </c>
      <c r="AD22" s="52" t="s">
        <v>181</v>
      </c>
      <c r="AE22" s="43" t="s">
        <v>309</v>
      </c>
      <c r="AF22" s="52" t="s">
        <v>758</v>
      </c>
      <c r="AG22" s="107" t="s">
        <v>476</v>
      </c>
      <c r="AH22" s="108" t="s">
        <v>756</v>
      </c>
      <c r="AI22" s="107" t="s">
        <v>314</v>
      </c>
      <c r="AJ22" s="107" t="s">
        <v>314</v>
      </c>
      <c r="AK22" s="43" t="s">
        <v>129</v>
      </c>
      <c r="AL22" s="43" t="s">
        <v>129</v>
      </c>
      <c r="AM22" s="141"/>
      <c r="AN22" s="141"/>
      <c r="AO22" s="149"/>
      <c r="AP22" s="40">
        <v>1</v>
      </c>
      <c r="AQ22" s="3">
        <v>1.736111111111111E-3</v>
      </c>
      <c r="AR22" s="3">
        <v>3.472222222222222E-3</v>
      </c>
      <c r="AS22" t="s">
        <v>82</v>
      </c>
      <c r="AT22">
        <v>1</v>
      </c>
      <c r="AU22" t="s">
        <v>105</v>
      </c>
      <c r="AV22" t="s">
        <v>106</v>
      </c>
      <c r="AW22">
        <v>2</v>
      </c>
      <c r="AX22">
        <v>2</v>
      </c>
      <c r="AY22">
        <v>2</v>
      </c>
      <c r="AZ22">
        <v>2</v>
      </c>
      <c r="BA22" t="s">
        <v>107</v>
      </c>
      <c r="BB22" s="109" t="s">
        <v>129</v>
      </c>
      <c r="BC22" s="109" t="s">
        <v>129</v>
      </c>
      <c r="BD22" s="26"/>
      <c r="BE22" s="26"/>
      <c r="BF22" s="169"/>
      <c r="BG22" s="169"/>
      <c r="BH22" s="65" t="s">
        <v>359</v>
      </c>
      <c r="BI22" s="75" t="s">
        <v>427</v>
      </c>
      <c r="BJ22" s="66" t="s">
        <v>272</v>
      </c>
      <c r="BK22" s="67" t="s">
        <v>358</v>
      </c>
      <c r="BL22" s="66" t="s">
        <v>357</v>
      </c>
      <c r="BM22" s="66" t="s">
        <v>272</v>
      </c>
      <c r="BN22" s="65" t="s">
        <v>359</v>
      </c>
      <c r="BO22" s="66" t="s">
        <v>272</v>
      </c>
      <c r="BP22" s="75" t="s">
        <v>426</v>
      </c>
      <c r="BQ22" s="128" t="s">
        <v>613</v>
      </c>
      <c r="BR22" s="128">
        <f>65/326</f>
        <v>0.19938650306748465</v>
      </c>
      <c r="BS22" s="121" t="s">
        <v>357</v>
      </c>
      <c r="BT22" s="67" t="s">
        <v>358</v>
      </c>
      <c r="BU22" s="66" t="s">
        <v>272</v>
      </c>
      <c r="BV22" s="128" t="s">
        <v>614</v>
      </c>
      <c r="BW22" s="128">
        <f>3/653</f>
        <v>4.5941807044410417E-3</v>
      </c>
      <c r="BX22" s="71"/>
      <c r="BY22">
        <v>119</v>
      </c>
      <c r="BZ22" t="s">
        <v>367</v>
      </c>
      <c r="CA22">
        <v>3</v>
      </c>
      <c r="CC22" s="5">
        <v>44445</v>
      </c>
      <c r="CD22" t="s">
        <v>503</v>
      </c>
      <c r="CE22">
        <v>0</v>
      </c>
      <c r="CK22" s="118"/>
      <c r="CS22" t="s">
        <v>126</v>
      </c>
      <c r="CT22" t="s">
        <v>126</v>
      </c>
      <c r="CX22" t="s">
        <v>108</v>
      </c>
      <c r="CY22" t="s">
        <v>108</v>
      </c>
      <c r="DB22" s="223" t="s">
        <v>997</v>
      </c>
      <c r="DC22" s="223"/>
      <c r="DD22" s="223"/>
      <c r="DE22" s="223"/>
      <c r="DF22" s="223"/>
      <c r="DG22" s="223"/>
      <c r="DH22" s="223"/>
      <c r="DI22" s="223"/>
      <c r="DJ22" s="223"/>
      <c r="DK22" s="223"/>
      <c r="DL22" s="223"/>
      <c r="DM22" s="223"/>
    </row>
    <row r="23" spans="1:117" x14ac:dyDescent="0.3">
      <c r="A23">
        <v>20</v>
      </c>
      <c r="B23" t="s">
        <v>34</v>
      </c>
      <c r="C23">
        <v>3</v>
      </c>
      <c r="E23" s="5">
        <v>44174</v>
      </c>
      <c r="F23" s="92" t="s">
        <v>464</v>
      </c>
      <c r="G23">
        <v>296</v>
      </c>
      <c r="H23" s="82">
        <v>2</v>
      </c>
      <c r="I23" t="s">
        <v>201</v>
      </c>
      <c r="J23">
        <v>1</v>
      </c>
      <c r="K23">
        <v>0</v>
      </c>
      <c r="L23">
        <v>1</v>
      </c>
      <c r="M23">
        <v>1</v>
      </c>
      <c r="N23">
        <v>0</v>
      </c>
      <c r="O23" t="s">
        <v>59</v>
      </c>
      <c r="Q23" s="8" t="s">
        <v>125</v>
      </c>
      <c r="R23" s="8" t="s">
        <v>129</v>
      </c>
      <c r="S23" s="8" t="s">
        <v>126</v>
      </c>
      <c r="T23" s="11" t="s">
        <v>126</v>
      </c>
      <c r="U23" s="11" t="s">
        <v>161</v>
      </c>
      <c r="V23" s="11" t="s">
        <v>126</v>
      </c>
      <c r="W23" s="11" t="s">
        <v>129</v>
      </c>
      <c r="X23" s="22" t="s">
        <v>136</v>
      </c>
      <c r="Y23" s="12" t="s">
        <v>126</v>
      </c>
      <c r="AA23" s="26" t="s">
        <v>1005</v>
      </c>
      <c r="AI23" s="42" t="s">
        <v>313</v>
      </c>
      <c r="AJ23" s="50" t="s">
        <v>313</v>
      </c>
      <c r="AP23" s="40">
        <v>1</v>
      </c>
      <c r="AQ23" s="3">
        <v>5.2777777777777778E-2</v>
      </c>
      <c r="AR23" t="s">
        <v>108</v>
      </c>
      <c r="AS23" t="s">
        <v>82</v>
      </c>
      <c r="AT23">
        <v>1</v>
      </c>
      <c r="AU23" t="s">
        <v>108</v>
      </c>
      <c r="AV23" t="s">
        <v>109</v>
      </c>
      <c r="AW23">
        <v>1</v>
      </c>
      <c r="AX23">
        <v>2</v>
      </c>
      <c r="AY23">
        <v>1</v>
      </c>
      <c r="AZ23">
        <v>1</v>
      </c>
      <c r="BA23" t="s">
        <v>110</v>
      </c>
      <c r="BB23" s="33" t="s">
        <v>701</v>
      </c>
      <c r="BC23" s="33" t="s">
        <v>701</v>
      </c>
      <c r="BD23" s="26"/>
      <c r="BE23" s="26"/>
      <c r="BF23" s="26"/>
      <c r="BG23" s="26"/>
      <c r="BH23" s="40" t="s">
        <v>359</v>
      </c>
      <c r="BI23" t="s">
        <v>273</v>
      </c>
      <c r="BJ23" t="s">
        <v>272</v>
      </c>
      <c r="BK23" t="s">
        <v>272</v>
      </c>
      <c r="BL23" t="s">
        <v>273</v>
      </c>
      <c r="BM23" t="s">
        <v>272</v>
      </c>
      <c r="BN23"/>
      <c r="BQ23" s="202" t="s">
        <v>424</v>
      </c>
      <c r="BR23" s="203"/>
      <c r="BV23" s="202" t="s">
        <v>424</v>
      </c>
      <c r="BW23" s="203"/>
      <c r="BX23" s="71" t="s">
        <v>750</v>
      </c>
      <c r="BY23">
        <v>120</v>
      </c>
      <c r="BZ23" t="s">
        <v>509</v>
      </c>
      <c r="CA23">
        <v>4</v>
      </c>
      <c r="CB23" t="s">
        <v>510</v>
      </c>
      <c r="CC23" s="5">
        <v>44470</v>
      </c>
      <c r="CD23" t="s">
        <v>511</v>
      </c>
      <c r="CE23">
        <v>1</v>
      </c>
      <c r="CF23" s="56">
        <v>0.10416666666666667</v>
      </c>
      <c r="CG23" s="56">
        <v>0.125</v>
      </c>
      <c r="CH23" t="s">
        <v>576</v>
      </c>
      <c r="CI23" s="56">
        <v>0.20833333333333334</v>
      </c>
      <c r="CJ23" t="s">
        <v>560</v>
      </c>
      <c r="CK23" s="118">
        <v>1</v>
      </c>
      <c r="CL23" t="s">
        <v>105</v>
      </c>
      <c r="CM23" t="s">
        <v>119</v>
      </c>
      <c r="CN23">
        <v>2</v>
      </c>
      <c r="CO23" t="s">
        <v>126</v>
      </c>
      <c r="CP23">
        <v>2</v>
      </c>
      <c r="CQ23" t="s">
        <v>126</v>
      </c>
      <c r="CR23" t="s">
        <v>578</v>
      </c>
      <c r="CS23" t="s">
        <v>126</v>
      </c>
      <c r="CT23" t="s">
        <v>598</v>
      </c>
      <c r="CX23" t="s">
        <v>108</v>
      </c>
      <c r="CY23" t="s">
        <v>108</v>
      </c>
      <c r="DB23" s="223" t="s">
        <v>1001</v>
      </c>
      <c r="DC23" s="223"/>
      <c r="DD23" s="223"/>
      <c r="DE23" s="223"/>
      <c r="DF23" s="223"/>
      <c r="DG23" s="223"/>
      <c r="DH23" s="223"/>
      <c r="DI23" s="223"/>
      <c r="DJ23" s="223"/>
      <c r="DK23" s="223"/>
      <c r="DL23" s="223"/>
      <c r="DM23" s="223"/>
    </row>
    <row r="24" spans="1:117" x14ac:dyDescent="0.3">
      <c r="A24">
        <v>21</v>
      </c>
      <c r="B24" t="s">
        <v>35</v>
      </c>
      <c r="C24">
        <v>4</v>
      </c>
      <c r="E24" s="5">
        <v>44175</v>
      </c>
      <c r="F24" t="s">
        <v>7</v>
      </c>
      <c r="G24">
        <v>301</v>
      </c>
      <c r="H24" s="82">
        <v>1</v>
      </c>
      <c r="I24" t="s">
        <v>200</v>
      </c>
      <c r="J24">
        <v>1</v>
      </c>
      <c r="K24">
        <v>0</v>
      </c>
      <c r="L24">
        <v>1</v>
      </c>
      <c r="M24">
        <v>1</v>
      </c>
      <c r="N24">
        <v>1</v>
      </c>
      <c r="O24" t="s">
        <v>60</v>
      </c>
      <c r="P24" s="8" t="s">
        <v>147</v>
      </c>
      <c r="Q24" s="8" t="s">
        <v>125</v>
      </c>
      <c r="R24" s="8" t="s">
        <v>129</v>
      </c>
      <c r="S24" s="8" t="s">
        <v>126</v>
      </c>
      <c r="T24" s="11" t="s">
        <v>129</v>
      </c>
      <c r="U24" s="11" t="s">
        <v>167</v>
      </c>
      <c r="V24" s="22" t="s">
        <v>126</v>
      </c>
      <c r="W24" s="11" t="s">
        <v>129</v>
      </c>
      <c r="X24" s="22" t="s">
        <v>139</v>
      </c>
      <c r="Y24" s="12" t="s">
        <v>126</v>
      </c>
      <c r="AA24" s="26" t="s">
        <v>1006</v>
      </c>
      <c r="AI24" s="42" t="s">
        <v>313</v>
      </c>
      <c r="AJ24" s="50" t="s">
        <v>313</v>
      </c>
      <c r="AP24" s="40">
        <v>1</v>
      </c>
      <c r="AQ24" s="3">
        <v>0.10416666666666667</v>
      </c>
      <c r="AR24" s="3">
        <v>0.20833333333333334</v>
      </c>
      <c r="AS24" t="s">
        <v>82</v>
      </c>
      <c r="AT24">
        <v>1</v>
      </c>
      <c r="AU24" t="s">
        <v>111</v>
      </c>
      <c r="AV24" t="s">
        <v>112</v>
      </c>
      <c r="AW24" t="s">
        <v>101</v>
      </c>
      <c r="AY24">
        <v>2</v>
      </c>
      <c r="AZ24">
        <v>2</v>
      </c>
      <c r="BA24" t="s">
        <v>113</v>
      </c>
      <c r="BB24" s="109" t="s">
        <v>129</v>
      </c>
      <c r="BC24" s="109" t="s">
        <v>129</v>
      </c>
      <c r="BD24" s="26"/>
      <c r="BE24" s="26"/>
      <c r="BF24" s="26"/>
      <c r="BG24" s="26"/>
      <c r="BH24" s="40" t="s">
        <v>359</v>
      </c>
      <c r="BI24" t="s">
        <v>357</v>
      </c>
      <c r="BJ24" t="s">
        <v>272</v>
      </c>
      <c r="BK24" t="s">
        <v>272</v>
      </c>
      <c r="BL24" t="s">
        <v>357</v>
      </c>
      <c r="BM24" t="s">
        <v>357</v>
      </c>
      <c r="BN24" s="40" t="s">
        <v>359</v>
      </c>
      <c r="BO24" t="s">
        <v>357</v>
      </c>
      <c r="BP24" t="s">
        <v>272</v>
      </c>
      <c r="BQ24" s="183"/>
      <c r="BR24" s="183"/>
      <c r="BS24" s="81" t="s">
        <v>357</v>
      </c>
      <c r="BT24" t="s">
        <v>357</v>
      </c>
      <c r="BU24" t="s">
        <v>357</v>
      </c>
      <c r="BV24" s="183"/>
      <c r="BW24" s="183"/>
      <c r="BX24" s="135"/>
      <c r="BY24" s="135"/>
      <c r="BZ24" s="135"/>
      <c r="CA24" s="135"/>
      <c r="CB24" s="135"/>
      <c r="CC24" s="135"/>
      <c r="CD24" s="135"/>
      <c r="CE24" s="135"/>
      <c r="CF24" s="135"/>
      <c r="CG24" s="135"/>
      <c r="CH24" s="135"/>
      <c r="CI24" s="135"/>
      <c r="CJ24" s="135"/>
      <c r="CK24" s="135"/>
      <c r="CL24" s="135"/>
      <c r="CM24" s="135"/>
      <c r="CN24" s="135"/>
      <c r="CO24" s="135"/>
      <c r="CP24" s="135"/>
      <c r="CQ24" s="135"/>
      <c r="CR24" s="135"/>
      <c r="CS24" s="135"/>
      <c r="CT24" s="135"/>
      <c r="CX24" t="s">
        <v>108</v>
      </c>
      <c r="CY24" t="s">
        <v>108</v>
      </c>
      <c r="DB24" s="135"/>
      <c r="DC24" s="135"/>
      <c r="DD24" s="135"/>
      <c r="DE24" s="135"/>
      <c r="DF24" s="135"/>
      <c r="DG24" s="135"/>
      <c r="DH24" s="135"/>
      <c r="DI24" s="135"/>
      <c r="DJ24" s="135"/>
      <c r="DK24" s="135"/>
      <c r="DL24" s="135"/>
      <c r="DM24" s="135"/>
    </row>
    <row r="25" spans="1:117" x14ac:dyDescent="0.3">
      <c r="A25">
        <v>22</v>
      </c>
      <c r="B25" t="s">
        <v>36</v>
      </c>
      <c r="C25">
        <v>5</v>
      </c>
      <c r="E25" s="5">
        <v>44176</v>
      </c>
      <c r="F25" t="s">
        <v>14</v>
      </c>
      <c r="G25">
        <v>303</v>
      </c>
      <c r="H25" s="82">
        <v>1</v>
      </c>
      <c r="I25" t="s">
        <v>200</v>
      </c>
      <c r="J25">
        <v>1</v>
      </c>
      <c r="K25">
        <v>0</v>
      </c>
      <c r="L25">
        <v>0</v>
      </c>
      <c r="M25">
        <v>1</v>
      </c>
      <c r="N25">
        <v>1</v>
      </c>
      <c r="O25" s="9" t="s">
        <v>61</v>
      </c>
      <c r="Q25" s="8" t="s">
        <v>125</v>
      </c>
      <c r="R25" s="8" t="s">
        <v>130</v>
      </c>
      <c r="S25" s="8" t="s">
        <v>126</v>
      </c>
      <c r="T25" s="11" t="s">
        <v>126</v>
      </c>
      <c r="W25" s="11" t="s">
        <v>129</v>
      </c>
      <c r="X25" s="22" t="s">
        <v>136</v>
      </c>
      <c r="Y25" s="12" t="s">
        <v>126</v>
      </c>
      <c r="AA25" s="26" t="s">
        <v>1005</v>
      </c>
      <c r="AI25" s="42" t="s">
        <v>313</v>
      </c>
      <c r="AJ25" s="50" t="s">
        <v>313</v>
      </c>
      <c r="AP25" s="40">
        <v>1</v>
      </c>
      <c r="AQ25" s="3">
        <v>0.10416666666666667</v>
      </c>
      <c r="AR25" s="3">
        <v>0.20833333333333334</v>
      </c>
      <c r="AS25" t="s">
        <v>82</v>
      </c>
      <c r="AT25">
        <v>1</v>
      </c>
      <c r="AU25" t="s">
        <v>105</v>
      </c>
      <c r="AV25" t="s">
        <v>106</v>
      </c>
      <c r="AW25" t="s">
        <v>108</v>
      </c>
      <c r="AX25" t="s">
        <v>108</v>
      </c>
      <c r="AY25">
        <v>1</v>
      </c>
      <c r="AZ25">
        <v>2</v>
      </c>
      <c r="BA25" t="s">
        <v>114</v>
      </c>
      <c r="BB25" s="111" t="s">
        <v>129</v>
      </c>
      <c r="BC25" s="109" t="s">
        <v>129</v>
      </c>
      <c r="BD25" s="26"/>
      <c r="BE25" s="26"/>
      <c r="BF25" s="26"/>
      <c r="BG25" s="26"/>
      <c r="BH25" s="40" t="s">
        <v>359</v>
      </c>
      <c r="BI25" t="s">
        <v>272</v>
      </c>
      <c r="BJ25" t="s">
        <v>273</v>
      </c>
      <c r="BK25" t="s">
        <v>358</v>
      </c>
      <c r="BL25" t="s">
        <v>357</v>
      </c>
      <c r="BM25" t="s">
        <v>357</v>
      </c>
      <c r="BN25" s="40" t="s">
        <v>360</v>
      </c>
      <c r="BO25" t="s">
        <v>273</v>
      </c>
      <c r="BP25" t="s">
        <v>273</v>
      </c>
      <c r="BQ25" s="183"/>
      <c r="BR25" s="183"/>
      <c r="BS25" s="81" t="s">
        <v>358</v>
      </c>
      <c r="BT25" t="s">
        <v>357</v>
      </c>
      <c r="BU25" t="s">
        <v>357</v>
      </c>
      <c r="BV25" s="183"/>
      <c r="BW25" s="183"/>
      <c r="BX25" s="71" t="s">
        <v>750</v>
      </c>
      <c r="BY25">
        <v>122</v>
      </c>
      <c r="BZ25" t="s">
        <v>504</v>
      </c>
      <c r="CA25">
        <v>4</v>
      </c>
      <c r="CC25" s="5">
        <v>44447</v>
      </c>
      <c r="CE25">
        <v>1</v>
      </c>
      <c r="CF25" s="56">
        <v>2.0833333333333332E-2</v>
      </c>
      <c r="CG25" s="56">
        <v>0</v>
      </c>
      <c r="CH25" s="56"/>
      <c r="CI25" s="56">
        <v>0.20833333333333334</v>
      </c>
      <c r="CJ25" t="s">
        <v>560</v>
      </c>
      <c r="CK25" s="118">
        <v>1</v>
      </c>
      <c r="CL25" t="s">
        <v>111</v>
      </c>
      <c r="CM25" t="s">
        <v>259</v>
      </c>
      <c r="CN25">
        <v>2</v>
      </c>
      <c r="CO25">
        <v>0</v>
      </c>
      <c r="CP25">
        <v>1</v>
      </c>
      <c r="CQ25">
        <v>1</v>
      </c>
      <c r="CR25" t="s">
        <v>574</v>
      </c>
      <c r="CS25" s="133" t="s">
        <v>129</v>
      </c>
      <c r="CT25" s="133" t="s">
        <v>129</v>
      </c>
      <c r="CU25" s="147"/>
      <c r="CX25" s="170" t="s">
        <v>837</v>
      </c>
      <c r="CY25" s="170" t="s">
        <v>776</v>
      </c>
      <c r="DB25" t="s">
        <v>912</v>
      </c>
      <c r="DC25" s="175">
        <v>0</v>
      </c>
      <c r="DD25" t="s">
        <v>913</v>
      </c>
      <c r="DE25" s="175">
        <v>0</v>
      </c>
      <c r="DF25" t="s">
        <v>908</v>
      </c>
      <c r="DG25" s="175">
        <f>6/147</f>
        <v>4.0816326530612242E-2</v>
      </c>
      <c r="DH25" t="s">
        <v>909</v>
      </c>
      <c r="DI25" s="175">
        <f>9/253</f>
        <v>3.5573122529644272E-2</v>
      </c>
      <c r="DJ25" t="s">
        <v>910</v>
      </c>
      <c r="DK25" s="175">
        <v>0</v>
      </c>
      <c r="DL25" t="s">
        <v>911</v>
      </c>
      <c r="DM25" s="175">
        <v>0</v>
      </c>
    </row>
    <row r="26" spans="1:117" x14ac:dyDescent="0.3">
      <c r="A26">
        <v>23</v>
      </c>
      <c r="B26" t="s">
        <v>37</v>
      </c>
      <c r="C26">
        <v>6</v>
      </c>
      <c r="E26" s="5">
        <v>44179</v>
      </c>
      <c r="F26" t="s">
        <v>459</v>
      </c>
      <c r="G26">
        <v>300</v>
      </c>
      <c r="H26" s="82">
        <v>1</v>
      </c>
      <c r="I26" t="s">
        <v>200</v>
      </c>
      <c r="J26">
        <v>1</v>
      </c>
      <c r="K26" s="9">
        <v>1</v>
      </c>
      <c r="L26">
        <v>2</v>
      </c>
      <c r="M26">
        <v>1</v>
      </c>
      <c r="N26">
        <v>1</v>
      </c>
      <c r="O26" t="s">
        <v>62</v>
      </c>
      <c r="Q26" s="6" t="s">
        <v>124</v>
      </c>
      <c r="R26" s="8" t="s">
        <v>129</v>
      </c>
      <c r="S26" s="8" t="s">
        <v>126</v>
      </c>
      <c r="T26" s="11" t="s">
        <v>129</v>
      </c>
      <c r="X26" s="11"/>
      <c r="Y26" s="12" t="s">
        <v>126</v>
      </c>
      <c r="AA26" s="26" t="s">
        <v>124</v>
      </c>
      <c r="AI26" s="42" t="s">
        <v>313</v>
      </c>
      <c r="AJ26" s="50" t="s">
        <v>313</v>
      </c>
      <c r="AP26" s="40">
        <v>1</v>
      </c>
      <c r="AQ26" s="3">
        <v>0.10416666666666667</v>
      </c>
      <c r="AR26" s="3">
        <v>0.20833333333333334</v>
      </c>
      <c r="AS26" t="s">
        <v>115</v>
      </c>
      <c r="AT26">
        <v>1</v>
      </c>
      <c r="AU26" t="s">
        <v>116</v>
      </c>
      <c r="AV26" t="s">
        <v>117</v>
      </c>
      <c r="AW26">
        <v>2</v>
      </c>
      <c r="AX26" t="s">
        <v>108</v>
      </c>
      <c r="AY26">
        <v>2</v>
      </c>
      <c r="AZ26">
        <v>2</v>
      </c>
      <c r="BA26" t="s">
        <v>118</v>
      </c>
      <c r="BB26" s="30" t="s">
        <v>126</v>
      </c>
      <c r="BC26" s="30" t="s">
        <v>126</v>
      </c>
      <c r="BD26" s="26"/>
      <c r="BE26" s="26"/>
      <c r="BF26" s="26"/>
      <c r="BG26" s="26"/>
      <c r="BH26"/>
      <c r="BN26"/>
      <c r="BQ26" s="183"/>
      <c r="BR26" s="183"/>
      <c r="BV26" s="183"/>
      <c r="BW26" s="183"/>
      <c r="BX26" s="135"/>
      <c r="BY26" s="135"/>
      <c r="BZ26" s="135"/>
      <c r="CA26" s="135"/>
      <c r="CB26" s="135"/>
      <c r="CC26" s="135"/>
      <c r="CD26" s="135"/>
      <c r="CE26" s="135"/>
      <c r="CF26" s="135"/>
      <c r="CG26" s="135"/>
      <c r="CH26" s="135"/>
      <c r="CI26" s="135"/>
      <c r="CJ26" s="135"/>
      <c r="CK26" s="135"/>
      <c r="CL26" s="135"/>
      <c r="CM26" s="135"/>
      <c r="CN26" s="135"/>
      <c r="CO26" s="135"/>
      <c r="CP26" s="135"/>
      <c r="CQ26" s="135"/>
      <c r="CR26" s="135"/>
      <c r="CS26" s="135"/>
      <c r="CT26" s="135"/>
      <c r="CX26" t="s">
        <v>108</v>
      </c>
      <c r="CY26" t="s">
        <v>108</v>
      </c>
      <c r="DB26" s="135"/>
      <c r="DC26" s="135"/>
      <c r="DD26" s="135"/>
      <c r="DE26" s="135"/>
      <c r="DF26" s="135"/>
      <c r="DG26" s="135"/>
      <c r="DH26" s="135"/>
      <c r="DI26" s="135"/>
      <c r="DJ26" s="135"/>
      <c r="DK26" s="135"/>
      <c r="DL26" s="135"/>
      <c r="DM26" s="135"/>
    </row>
    <row r="27" spans="1:117" x14ac:dyDescent="0.3">
      <c r="A27">
        <v>24</v>
      </c>
      <c r="B27" t="s">
        <v>38</v>
      </c>
      <c r="C27">
        <v>7</v>
      </c>
      <c r="D27" t="s">
        <v>39</v>
      </c>
      <c r="E27" s="5">
        <v>44179</v>
      </c>
      <c r="F27" t="s">
        <v>461</v>
      </c>
      <c r="G27">
        <v>286</v>
      </c>
      <c r="H27" s="82">
        <v>1</v>
      </c>
      <c r="I27" t="s">
        <v>200</v>
      </c>
      <c r="J27">
        <v>1</v>
      </c>
      <c r="K27">
        <v>0</v>
      </c>
      <c r="L27">
        <v>2</v>
      </c>
      <c r="M27">
        <v>1</v>
      </c>
      <c r="N27">
        <v>1</v>
      </c>
      <c r="O27" t="s">
        <v>63</v>
      </c>
      <c r="Q27" s="6" t="s">
        <v>124</v>
      </c>
      <c r="R27" s="8" t="s">
        <v>129</v>
      </c>
      <c r="S27" s="8" t="s">
        <v>126</v>
      </c>
      <c r="T27" s="11" t="s">
        <v>129</v>
      </c>
      <c r="X27" s="11"/>
      <c r="Y27" s="12" t="s">
        <v>126</v>
      </c>
      <c r="AA27" s="26" t="s">
        <v>124</v>
      </c>
      <c r="AI27" s="42" t="s">
        <v>313</v>
      </c>
      <c r="AJ27" s="50" t="s">
        <v>313</v>
      </c>
      <c r="AP27" s="40">
        <v>1</v>
      </c>
      <c r="AQ27" s="3">
        <v>0.10416666666666667</v>
      </c>
      <c r="AR27" s="3">
        <v>0.20833333333333334</v>
      </c>
      <c r="AS27" t="s">
        <v>82</v>
      </c>
      <c r="AT27">
        <v>1</v>
      </c>
      <c r="AU27" t="s">
        <v>105</v>
      </c>
      <c r="AV27" t="s">
        <v>119</v>
      </c>
      <c r="AW27">
        <v>0</v>
      </c>
      <c r="AX27">
        <v>1</v>
      </c>
      <c r="AY27">
        <v>1</v>
      </c>
      <c r="AZ27">
        <v>2</v>
      </c>
      <c r="BA27" t="s">
        <v>120</v>
      </c>
      <c r="BB27" s="109" t="s">
        <v>129</v>
      </c>
      <c r="BC27" s="111" t="s">
        <v>129</v>
      </c>
      <c r="BD27" s="154"/>
      <c r="BE27" s="154"/>
      <c r="BF27" s="154"/>
      <c r="BG27" s="154"/>
      <c r="BH27" s="40" t="s">
        <v>360</v>
      </c>
      <c r="BI27" t="s">
        <v>273</v>
      </c>
      <c r="BJ27" t="s">
        <v>273</v>
      </c>
      <c r="BK27" t="s">
        <v>361</v>
      </c>
      <c r="BL27" t="s">
        <v>272</v>
      </c>
      <c r="BM27" t="s">
        <v>359</v>
      </c>
      <c r="BN27"/>
      <c r="BQ27" s="202" t="s">
        <v>424</v>
      </c>
      <c r="BR27" s="203"/>
      <c r="BV27" s="202" t="s">
        <v>424</v>
      </c>
      <c r="BW27" s="203"/>
      <c r="BX27" s="71" t="s">
        <v>750</v>
      </c>
      <c r="BY27">
        <v>124</v>
      </c>
      <c r="BZ27" t="s">
        <v>507</v>
      </c>
      <c r="CA27">
        <v>6</v>
      </c>
      <c r="CC27" s="116">
        <v>44452</v>
      </c>
      <c r="CD27" t="s">
        <v>508</v>
      </c>
      <c r="CE27">
        <v>1</v>
      </c>
      <c r="CF27" s="56">
        <v>0.10416666666666667</v>
      </c>
      <c r="CG27" s="56">
        <v>0.125</v>
      </c>
      <c r="CH27" t="s">
        <v>576</v>
      </c>
      <c r="CI27" s="56">
        <v>0.20833333333333334</v>
      </c>
      <c r="CJ27" t="s">
        <v>560</v>
      </c>
      <c r="CK27" s="118">
        <v>1</v>
      </c>
      <c r="CL27" t="s">
        <v>116</v>
      </c>
      <c r="CM27" t="s">
        <v>577</v>
      </c>
      <c r="CN27">
        <v>1</v>
      </c>
      <c r="CO27">
        <v>1</v>
      </c>
      <c r="CP27">
        <v>1</v>
      </c>
      <c r="CQ27">
        <v>2</v>
      </c>
      <c r="CS27" s="133" t="s">
        <v>129</v>
      </c>
      <c r="CT27" s="133" t="s">
        <v>129</v>
      </c>
      <c r="CU27" s="147"/>
      <c r="CX27" s="170" t="s">
        <v>832</v>
      </c>
      <c r="CY27" s="170" t="s">
        <v>838</v>
      </c>
      <c r="DB27" t="s">
        <v>914</v>
      </c>
      <c r="DC27" s="175">
        <f>36/192</f>
        <v>0.1875</v>
      </c>
      <c r="DD27" t="s">
        <v>915</v>
      </c>
      <c r="DE27" s="175">
        <f>6/293</f>
        <v>2.0477815699658702E-2</v>
      </c>
      <c r="DF27" t="s">
        <v>999</v>
      </c>
      <c r="DH27" t="s">
        <v>1000</v>
      </c>
      <c r="DJ27" t="s">
        <v>999</v>
      </c>
      <c r="DL27" t="s">
        <v>1000</v>
      </c>
    </row>
    <row r="28" spans="1:117" s="15" customFormat="1" x14ac:dyDescent="0.3">
      <c r="A28" s="16">
        <v>25</v>
      </c>
      <c r="B28" s="16" t="s">
        <v>148</v>
      </c>
      <c r="C28" s="16">
        <v>1</v>
      </c>
      <c r="D28" s="16" t="s">
        <v>149</v>
      </c>
      <c r="E28" s="17">
        <v>44238</v>
      </c>
      <c r="F28" s="90" t="s">
        <v>462</v>
      </c>
      <c r="G28" s="16">
        <v>285</v>
      </c>
      <c r="H28" s="82">
        <v>2</v>
      </c>
      <c r="I28" s="18" t="s">
        <v>201</v>
      </c>
      <c r="J28" s="21">
        <v>0</v>
      </c>
      <c r="K28" s="16"/>
      <c r="L28" s="16"/>
      <c r="M28" s="16"/>
      <c r="N28" s="16"/>
      <c r="O28" s="16" t="s">
        <v>151</v>
      </c>
      <c r="P28" s="24" t="s">
        <v>178</v>
      </c>
      <c r="Q28" s="14" t="s">
        <v>125</v>
      </c>
      <c r="R28" s="14" t="s">
        <v>126</v>
      </c>
      <c r="S28" s="14" t="s">
        <v>161</v>
      </c>
      <c r="T28" s="20"/>
      <c r="U28" s="20"/>
      <c r="V28" s="20"/>
      <c r="W28" s="20" t="s">
        <v>133</v>
      </c>
      <c r="X28" s="14" t="s">
        <v>166</v>
      </c>
      <c r="Y28" s="23" t="s">
        <v>126</v>
      </c>
      <c r="Z28" s="27"/>
      <c r="AA28" s="180" t="s">
        <v>1010</v>
      </c>
      <c r="AB28" s="180"/>
      <c r="AC28" s="44"/>
      <c r="AD28" s="53"/>
      <c r="AE28" s="44"/>
      <c r="AF28" s="53"/>
      <c r="AG28" s="44"/>
      <c r="AH28" s="53"/>
      <c r="AI28" s="44" t="s">
        <v>313</v>
      </c>
      <c r="AJ28" s="53" t="s">
        <v>313</v>
      </c>
      <c r="AK28" s="27"/>
      <c r="AL28" s="27"/>
      <c r="AM28" s="32"/>
      <c r="AN28" s="32"/>
      <c r="AO28" s="32"/>
      <c r="AP28" s="47">
        <v>1</v>
      </c>
      <c r="AQ28" s="19">
        <v>6.25E-2</v>
      </c>
      <c r="AR28" s="19">
        <v>0.20833333333333334</v>
      </c>
      <c r="AS28" s="16" t="s">
        <v>153</v>
      </c>
      <c r="AT28" s="16">
        <v>1</v>
      </c>
      <c r="AU28" s="16" t="s">
        <v>154</v>
      </c>
      <c r="AV28" s="16" t="s">
        <v>155</v>
      </c>
      <c r="AW28" s="16">
        <v>0</v>
      </c>
      <c r="AX28" s="16">
        <v>2</v>
      </c>
      <c r="AY28" s="16">
        <v>1</v>
      </c>
      <c r="AZ28" s="16">
        <v>1</v>
      </c>
      <c r="BA28" s="16" t="s">
        <v>156</v>
      </c>
      <c r="BB28" s="32" t="s">
        <v>129</v>
      </c>
      <c r="BC28" s="32" t="s">
        <v>126</v>
      </c>
      <c r="BD28" s="27"/>
      <c r="BE28" s="27"/>
      <c r="BF28" s="27"/>
      <c r="BG28" s="27"/>
      <c r="BH28" s="40" t="s">
        <v>359</v>
      </c>
      <c r="BI28" t="s">
        <v>357</v>
      </c>
      <c r="BJ28" t="s">
        <v>272</v>
      </c>
      <c r="BK28" t="s">
        <v>359</v>
      </c>
      <c r="BL28" t="s">
        <v>108</v>
      </c>
      <c r="BM28" t="s">
        <v>357</v>
      </c>
      <c r="BN28" s="40" t="s">
        <v>359</v>
      </c>
      <c r="BO28" t="s">
        <v>357</v>
      </c>
      <c r="BP28" t="s">
        <v>272</v>
      </c>
      <c r="BQ28" s="183"/>
      <c r="BR28" s="183"/>
      <c r="BS28" s="81" t="s">
        <v>359</v>
      </c>
      <c r="BT28" t="s">
        <v>357</v>
      </c>
      <c r="BU28" t="s">
        <v>357</v>
      </c>
      <c r="BV28" s="183"/>
      <c r="BW28" s="183"/>
      <c r="BX28" s="136"/>
      <c r="BY28" s="136"/>
      <c r="BZ28" s="136"/>
      <c r="CA28" s="136"/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6"/>
      <c r="CO28" s="136"/>
      <c r="CP28" s="136"/>
      <c r="CQ28" s="136"/>
      <c r="CR28" s="136"/>
      <c r="CS28" s="136"/>
      <c r="CT28" s="136"/>
      <c r="CX28" s="171" t="s">
        <v>108</v>
      </c>
      <c r="CY28" s="171" t="s">
        <v>108</v>
      </c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</row>
    <row r="29" spans="1:117" s="15" customFormat="1" x14ac:dyDescent="0.3">
      <c r="A29" s="16">
        <v>26</v>
      </c>
      <c r="B29" s="16" t="s">
        <v>150</v>
      </c>
      <c r="C29" s="16">
        <v>2</v>
      </c>
      <c r="D29" s="16"/>
      <c r="E29" s="17">
        <v>44239</v>
      </c>
      <c r="F29" s="91" t="s">
        <v>463</v>
      </c>
      <c r="G29" s="16">
        <v>292</v>
      </c>
      <c r="H29" s="82">
        <v>1</v>
      </c>
      <c r="I29" s="16" t="s">
        <v>200</v>
      </c>
      <c r="J29" s="16">
        <v>1</v>
      </c>
      <c r="K29" s="16">
        <v>0</v>
      </c>
      <c r="L29" s="16">
        <v>2</v>
      </c>
      <c r="M29" s="16">
        <v>1</v>
      </c>
      <c r="N29" s="16">
        <v>1</v>
      </c>
      <c r="O29" s="21" t="s">
        <v>152</v>
      </c>
      <c r="P29" s="14"/>
      <c r="Q29" s="14" t="s">
        <v>125</v>
      </c>
      <c r="R29" s="14" t="s">
        <v>168</v>
      </c>
      <c r="S29" s="14"/>
      <c r="T29" s="20"/>
      <c r="U29" s="20"/>
      <c r="V29" s="20"/>
      <c r="W29" s="20" t="s">
        <v>129</v>
      </c>
      <c r="X29" s="28" t="s">
        <v>136</v>
      </c>
      <c r="Y29" s="23" t="s">
        <v>126</v>
      </c>
      <c r="Z29" s="27"/>
      <c r="AA29" s="180" t="s">
        <v>1005</v>
      </c>
      <c r="AB29" s="180"/>
      <c r="AC29" s="44"/>
      <c r="AD29" s="53"/>
      <c r="AE29" s="44"/>
      <c r="AF29" s="53"/>
      <c r="AG29" s="44"/>
      <c r="AH29" s="53"/>
      <c r="AI29" s="44" t="s">
        <v>313</v>
      </c>
      <c r="AJ29" s="53" t="s">
        <v>313</v>
      </c>
      <c r="AK29" s="27"/>
      <c r="AL29" s="27"/>
      <c r="AM29" s="32"/>
      <c r="AN29" s="32"/>
      <c r="AO29" s="32"/>
      <c r="AP29" s="47">
        <v>1</v>
      </c>
      <c r="AQ29" s="19">
        <v>0.10416666666666667</v>
      </c>
      <c r="AR29" s="19">
        <v>0.20833333333333334</v>
      </c>
      <c r="AS29" s="16" t="s">
        <v>82</v>
      </c>
      <c r="AT29" s="16">
        <v>1</v>
      </c>
      <c r="AU29" s="16" t="s">
        <v>154</v>
      </c>
      <c r="AV29" s="16" t="s">
        <v>106</v>
      </c>
      <c r="AW29" s="16">
        <v>0</v>
      </c>
      <c r="AX29" s="16">
        <v>2</v>
      </c>
      <c r="AY29" s="16">
        <v>1</v>
      </c>
      <c r="AZ29" s="16">
        <v>2</v>
      </c>
      <c r="BA29" s="16" t="s">
        <v>157</v>
      </c>
      <c r="BB29" s="32" t="s">
        <v>129</v>
      </c>
      <c r="BC29" s="32" t="s">
        <v>126</v>
      </c>
      <c r="BD29" s="27"/>
      <c r="BE29" s="27"/>
      <c r="BF29" s="27"/>
      <c r="BG29" s="27"/>
      <c r="BH29" s="40" t="s">
        <v>272</v>
      </c>
      <c r="BI29" t="s">
        <v>357</v>
      </c>
      <c r="BJ29" t="s">
        <v>357</v>
      </c>
      <c r="BK29" t="s">
        <v>272</v>
      </c>
      <c r="BL29" t="s">
        <v>272</v>
      </c>
      <c r="BM29" t="s">
        <v>273</v>
      </c>
      <c r="BN29" s="40" t="s">
        <v>272</v>
      </c>
      <c r="BO29" t="s">
        <v>357</v>
      </c>
      <c r="BP29" t="s">
        <v>357</v>
      </c>
      <c r="BQ29" s="183"/>
      <c r="BR29" s="183"/>
      <c r="BS29" s="81" t="s">
        <v>272</v>
      </c>
      <c r="BT29" t="s">
        <v>272</v>
      </c>
      <c r="BU29" t="s">
        <v>272</v>
      </c>
      <c r="BV29" s="183"/>
      <c r="BW29" s="183"/>
      <c r="BX29" s="71" t="s">
        <v>750</v>
      </c>
      <c r="BY29">
        <v>126</v>
      </c>
      <c r="BZ29" t="s">
        <v>516</v>
      </c>
      <c r="CA29">
        <v>4</v>
      </c>
      <c r="CB29"/>
      <c r="CC29" s="5">
        <v>44503</v>
      </c>
      <c r="CD29" t="s">
        <v>517</v>
      </c>
      <c r="CE29">
        <v>1</v>
      </c>
      <c r="CF29" s="56">
        <v>0.10416666666666667</v>
      </c>
      <c r="CG29" s="56">
        <v>0.125</v>
      </c>
      <c r="CH29" t="s">
        <v>572</v>
      </c>
      <c r="CI29" s="56">
        <v>0.125</v>
      </c>
      <c r="CJ29" t="s">
        <v>560</v>
      </c>
      <c r="CK29" s="118">
        <v>1</v>
      </c>
      <c r="CL29"/>
      <c r="CM29" s="56" t="s">
        <v>569</v>
      </c>
      <c r="CN29" t="s">
        <v>569</v>
      </c>
      <c r="CO29" s="56" t="s">
        <v>569</v>
      </c>
      <c r="CP29">
        <v>1</v>
      </c>
      <c r="CQ29">
        <v>0</v>
      </c>
      <c r="CR29" t="s">
        <v>580</v>
      </c>
      <c r="CS29" s="133" t="s">
        <v>129</v>
      </c>
      <c r="CT29" s="133" t="s">
        <v>129</v>
      </c>
      <c r="CX29" s="171" t="s">
        <v>768</v>
      </c>
      <c r="CY29" s="170" t="s">
        <v>839</v>
      </c>
      <c r="DB29" s="173"/>
      <c r="DC29" s="173"/>
      <c r="DD29" s="173" t="s">
        <v>424</v>
      </c>
      <c r="DE29" s="173"/>
      <c r="DF29" s="173"/>
      <c r="DG29" s="173"/>
      <c r="DH29" s="173" t="s">
        <v>424</v>
      </c>
      <c r="DI29" s="173"/>
      <c r="DJ29" s="173"/>
      <c r="DK29" s="173"/>
      <c r="DL29" s="173" t="s">
        <v>424</v>
      </c>
      <c r="DM29" s="173"/>
    </row>
    <row r="30" spans="1:117" s="15" customFormat="1" x14ac:dyDescent="0.3">
      <c r="A30" s="16">
        <v>27</v>
      </c>
      <c r="B30" s="16" t="s">
        <v>169</v>
      </c>
      <c r="C30" s="16">
        <v>3</v>
      </c>
      <c r="D30" s="16"/>
      <c r="E30" s="17">
        <v>44243</v>
      </c>
      <c r="F30" s="16" t="s">
        <v>170</v>
      </c>
      <c r="G30" s="16">
        <v>296</v>
      </c>
      <c r="H30" s="85">
        <v>2</v>
      </c>
      <c r="I30" s="86" t="s">
        <v>202</v>
      </c>
      <c r="J30" s="16">
        <v>1</v>
      </c>
      <c r="K30" s="16">
        <v>0</v>
      </c>
      <c r="L30" s="16">
        <v>2</v>
      </c>
      <c r="M30" s="16">
        <v>1</v>
      </c>
      <c r="N30" s="16">
        <v>1</v>
      </c>
      <c r="O30" s="16" t="s">
        <v>171</v>
      </c>
      <c r="P30" s="14"/>
      <c r="Q30" s="14" t="s">
        <v>125</v>
      </c>
      <c r="R30" s="14"/>
      <c r="S30" s="14" t="s">
        <v>129</v>
      </c>
      <c r="T30" s="20" t="s">
        <v>129</v>
      </c>
      <c r="U30" s="20" t="s">
        <v>126</v>
      </c>
      <c r="V30" s="20" t="s">
        <v>129</v>
      </c>
      <c r="W30" s="20" t="s">
        <v>129</v>
      </c>
      <c r="X30" s="28" t="s">
        <v>198</v>
      </c>
      <c r="Y30" s="23" t="s">
        <v>126</v>
      </c>
      <c r="Z30" s="27" t="s">
        <v>126</v>
      </c>
      <c r="AA30" s="180" t="s">
        <v>1011</v>
      </c>
      <c r="AB30" s="180"/>
      <c r="AC30" s="44"/>
      <c r="AD30" s="53"/>
      <c r="AE30" s="44"/>
      <c r="AF30" s="53"/>
      <c r="AG30" s="44"/>
      <c r="AH30" s="53"/>
      <c r="AI30" s="44" t="s">
        <v>313</v>
      </c>
      <c r="AJ30" s="53" t="s">
        <v>313</v>
      </c>
      <c r="AK30" s="27"/>
      <c r="AL30" s="27"/>
      <c r="AM30" s="32"/>
      <c r="AN30" s="32"/>
      <c r="AO30" s="32"/>
      <c r="AP30" s="47">
        <v>1</v>
      </c>
      <c r="AQ30" s="19">
        <v>0.10416666666666667</v>
      </c>
      <c r="AR30" s="19">
        <v>0.20833333333333334</v>
      </c>
      <c r="AS30" s="16" t="s">
        <v>82</v>
      </c>
      <c r="AT30" s="16">
        <v>1</v>
      </c>
      <c r="AU30" s="16" t="s">
        <v>154</v>
      </c>
      <c r="AV30" s="16" t="s">
        <v>172</v>
      </c>
      <c r="AW30" s="16">
        <v>0</v>
      </c>
      <c r="AX30" s="16">
        <v>1</v>
      </c>
      <c r="AY30" s="16">
        <v>1</v>
      </c>
      <c r="AZ30" s="16">
        <v>2</v>
      </c>
      <c r="BA30" s="16" t="s">
        <v>173</v>
      </c>
      <c r="BB30" s="32" t="s">
        <v>126</v>
      </c>
      <c r="BC30" s="32" t="s">
        <v>126</v>
      </c>
      <c r="BD30" s="27"/>
      <c r="BE30" s="27"/>
      <c r="BF30" s="170" t="s">
        <v>867</v>
      </c>
      <c r="BG30" s="170" t="s">
        <v>868</v>
      </c>
      <c r="BH30"/>
      <c r="BI30"/>
      <c r="BJ30"/>
      <c r="BK30"/>
      <c r="BL30"/>
      <c r="BM30"/>
      <c r="BN30"/>
      <c r="BO30"/>
      <c r="BP30"/>
      <c r="BQ30" s="183"/>
      <c r="BR30" s="183"/>
      <c r="BS30" s="81"/>
      <c r="BT30"/>
      <c r="BU30"/>
      <c r="BV30" s="183"/>
      <c r="BW30" s="183"/>
      <c r="BX30" s="136"/>
      <c r="BY30" s="136"/>
      <c r="BZ30" s="136"/>
      <c r="CA30" s="136"/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X30" s="171" t="s">
        <v>108</v>
      </c>
      <c r="CY30" s="171" t="s">
        <v>108</v>
      </c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</row>
    <row r="31" spans="1:117" x14ac:dyDescent="0.3">
      <c r="A31" s="16">
        <v>28</v>
      </c>
      <c r="B31" s="93" t="s">
        <v>464</v>
      </c>
      <c r="C31" s="92" t="s">
        <v>464</v>
      </c>
      <c r="E31" s="5">
        <v>44244</v>
      </c>
      <c r="F31" t="s">
        <v>465</v>
      </c>
      <c r="G31">
        <v>303</v>
      </c>
      <c r="H31" s="82">
        <v>1</v>
      </c>
      <c r="I31" t="s">
        <v>200</v>
      </c>
      <c r="J31" s="9">
        <v>0</v>
      </c>
      <c r="Q31" s="14" t="s">
        <v>125</v>
      </c>
      <c r="AA31" s="26" t="s">
        <v>1010</v>
      </c>
      <c r="AI31" s="42" t="s">
        <v>313</v>
      </c>
      <c r="AJ31" s="50" t="s">
        <v>313</v>
      </c>
      <c r="BB31" s="30" t="s">
        <v>129</v>
      </c>
      <c r="BC31" s="30" t="s">
        <v>126</v>
      </c>
      <c r="BD31" s="26"/>
      <c r="BE31" s="26"/>
      <c r="BF31" s="26"/>
      <c r="BG31" s="26"/>
      <c r="BH31"/>
      <c r="BN31"/>
      <c r="BQ31" s="183"/>
      <c r="BR31" s="183"/>
      <c r="BV31" s="183"/>
      <c r="BW31" s="183"/>
      <c r="BX31" s="135"/>
      <c r="BY31" s="135"/>
      <c r="BZ31" s="135"/>
      <c r="CA31" s="135"/>
      <c r="CB31" s="135"/>
      <c r="CC31" s="135"/>
      <c r="CD31" s="135"/>
      <c r="CE31" s="135"/>
      <c r="CF31" s="135"/>
      <c r="CG31" s="135"/>
      <c r="CH31" s="135"/>
      <c r="CI31" s="135"/>
      <c r="CJ31" s="135"/>
      <c r="CK31" s="135"/>
      <c r="CL31" s="135"/>
      <c r="CM31" s="135"/>
      <c r="CN31" s="135"/>
      <c r="CO31" s="135"/>
      <c r="CP31" s="135"/>
      <c r="CQ31" s="135"/>
      <c r="CR31" s="135"/>
      <c r="CS31" s="135"/>
      <c r="CT31" s="135"/>
      <c r="CX31" s="171" t="s">
        <v>108</v>
      </c>
      <c r="CY31" s="171" t="s">
        <v>108</v>
      </c>
      <c r="DB31" s="135"/>
      <c r="DC31" s="135"/>
      <c r="DD31" s="135"/>
      <c r="DE31" s="135"/>
      <c r="DF31" s="135"/>
      <c r="DG31" s="135"/>
      <c r="DH31" s="135"/>
      <c r="DI31" s="135"/>
      <c r="DJ31" s="135"/>
      <c r="DK31" s="135"/>
      <c r="DL31" s="135"/>
      <c r="DM31" s="135"/>
    </row>
    <row r="32" spans="1:117" x14ac:dyDescent="0.3">
      <c r="A32" s="62">
        <v>29</v>
      </c>
      <c r="B32" s="16" t="s">
        <v>182</v>
      </c>
      <c r="C32" s="16">
        <v>5</v>
      </c>
      <c r="D32" s="16" t="s">
        <v>183</v>
      </c>
      <c r="E32" s="17">
        <v>44245</v>
      </c>
      <c r="F32" s="16" t="s">
        <v>184</v>
      </c>
      <c r="G32" s="16">
        <v>318</v>
      </c>
      <c r="H32" s="82">
        <v>1</v>
      </c>
      <c r="I32" s="16" t="s">
        <v>200</v>
      </c>
      <c r="J32" s="16">
        <v>1</v>
      </c>
      <c r="K32" s="16">
        <v>0</v>
      </c>
      <c r="L32" s="16">
        <v>2</v>
      </c>
      <c r="M32" s="16">
        <v>1</v>
      </c>
      <c r="N32" s="16">
        <v>1</v>
      </c>
      <c r="O32" s="16" t="s">
        <v>187</v>
      </c>
      <c r="Q32" s="14" t="s">
        <v>125</v>
      </c>
      <c r="R32" s="8" t="s">
        <v>129</v>
      </c>
      <c r="S32" s="8" t="s">
        <v>129</v>
      </c>
      <c r="T32" s="11" t="s">
        <v>129</v>
      </c>
      <c r="U32" s="11" t="s">
        <v>126</v>
      </c>
      <c r="V32" s="11" t="s">
        <v>129</v>
      </c>
      <c r="W32" s="11" t="s">
        <v>126</v>
      </c>
      <c r="Y32" s="11" t="s">
        <v>129</v>
      </c>
      <c r="Z32" s="26" t="s">
        <v>129</v>
      </c>
      <c r="AA32" s="26" t="s">
        <v>997</v>
      </c>
      <c r="AC32" s="220" t="s">
        <v>191</v>
      </c>
      <c r="AD32" s="221"/>
      <c r="AE32" s="221"/>
      <c r="AF32" s="221"/>
      <c r="AG32" s="221"/>
      <c r="AH32" s="222"/>
      <c r="AI32" s="156"/>
      <c r="AJ32" s="157"/>
      <c r="AK32" s="158"/>
      <c r="AL32" s="158"/>
      <c r="AP32" s="48">
        <v>0</v>
      </c>
      <c r="AQ32" s="19"/>
      <c r="AR32" s="19"/>
      <c r="AS32" s="16"/>
      <c r="AT32" s="16"/>
      <c r="AU32" s="16"/>
      <c r="AV32" s="16"/>
      <c r="AW32" s="16"/>
      <c r="AX32" s="16"/>
      <c r="AY32" s="16"/>
      <c r="AZ32" s="16"/>
      <c r="BA32" s="16"/>
      <c r="BB32" s="30" t="s">
        <v>126</v>
      </c>
      <c r="BC32" s="30" t="s">
        <v>126</v>
      </c>
      <c r="BD32" s="26"/>
      <c r="BE32" s="26"/>
      <c r="BF32" s="26"/>
      <c r="BG32" s="26"/>
      <c r="BH32"/>
      <c r="BN32"/>
      <c r="BQ32" s="202" t="s">
        <v>997</v>
      </c>
      <c r="BR32" s="203"/>
      <c r="BV32" s="202" t="s">
        <v>997</v>
      </c>
      <c r="BW32" s="203"/>
      <c r="BX32" s="71" t="s">
        <v>750</v>
      </c>
      <c r="BY32">
        <v>129</v>
      </c>
      <c r="BZ32" t="s">
        <v>514</v>
      </c>
      <c r="CA32">
        <v>3</v>
      </c>
      <c r="CC32" s="5">
        <v>44498</v>
      </c>
      <c r="CD32" t="s">
        <v>515</v>
      </c>
      <c r="CE32">
        <v>1</v>
      </c>
      <c r="CF32" s="56">
        <v>0.10416666666666667</v>
      </c>
      <c r="CG32" s="56">
        <v>0.125</v>
      </c>
      <c r="CH32" t="s">
        <v>572</v>
      </c>
      <c r="CI32" s="56">
        <v>0.20833333333333334</v>
      </c>
      <c r="CJ32" t="s">
        <v>560</v>
      </c>
      <c r="CK32" s="118">
        <v>1</v>
      </c>
      <c r="CL32" t="s">
        <v>105</v>
      </c>
      <c r="CN32">
        <v>1</v>
      </c>
      <c r="CO32">
        <v>0</v>
      </c>
      <c r="CP32">
        <v>1</v>
      </c>
      <c r="CQ32">
        <v>0</v>
      </c>
      <c r="CR32" t="s">
        <v>579</v>
      </c>
      <c r="CS32" t="s">
        <v>126</v>
      </c>
      <c r="CT32" t="s">
        <v>126</v>
      </c>
      <c r="CX32" s="171" t="s">
        <v>108</v>
      </c>
      <c r="CY32" s="171" t="s">
        <v>108</v>
      </c>
      <c r="DB32" t="s">
        <v>1022</v>
      </c>
      <c r="DD32" t="s">
        <v>999</v>
      </c>
      <c r="DF32" t="s">
        <v>1000</v>
      </c>
      <c r="DH32" t="s">
        <v>999</v>
      </c>
      <c r="DJ32" t="s">
        <v>1000</v>
      </c>
      <c r="DL32" t="s">
        <v>999</v>
      </c>
    </row>
    <row r="33" spans="1:117" x14ac:dyDescent="0.3">
      <c r="A33" s="62">
        <v>30</v>
      </c>
      <c r="B33" s="16" t="s">
        <v>185</v>
      </c>
      <c r="C33" s="16">
        <v>6</v>
      </c>
      <c r="D33" s="16" t="s">
        <v>186</v>
      </c>
      <c r="E33" s="17">
        <v>44246</v>
      </c>
      <c r="F33" s="16" t="s">
        <v>11</v>
      </c>
      <c r="G33" s="16">
        <v>293</v>
      </c>
      <c r="H33" s="82">
        <v>2</v>
      </c>
      <c r="I33" s="16" t="s">
        <v>201</v>
      </c>
      <c r="J33" s="16">
        <v>1</v>
      </c>
      <c r="K33" s="16">
        <v>1</v>
      </c>
      <c r="L33" s="16">
        <v>2</v>
      </c>
      <c r="M33" s="16">
        <v>1</v>
      </c>
      <c r="N33" s="16">
        <v>1</v>
      </c>
      <c r="O33" s="16"/>
      <c r="Q33" s="14" t="s">
        <v>125</v>
      </c>
      <c r="R33" s="8" t="s">
        <v>129</v>
      </c>
      <c r="S33" s="8" t="s">
        <v>129</v>
      </c>
      <c r="T33" s="11" t="s">
        <v>129</v>
      </c>
      <c r="U33" s="11" t="s">
        <v>126</v>
      </c>
      <c r="V33" s="11" t="s">
        <v>129</v>
      </c>
      <c r="W33" s="11" t="s">
        <v>126</v>
      </c>
      <c r="Y33" s="11" t="s">
        <v>129</v>
      </c>
      <c r="Z33" s="26" t="s">
        <v>126</v>
      </c>
      <c r="AA33" s="178">
        <v>1</v>
      </c>
      <c r="AB33" s="178" t="s">
        <v>1027</v>
      </c>
      <c r="AC33" s="159" t="s">
        <v>181</v>
      </c>
      <c r="AD33" s="155" t="s">
        <v>181</v>
      </c>
      <c r="AE33" s="159" t="s">
        <v>309</v>
      </c>
      <c r="AF33" s="155" t="s">
        <v>758</v>
      </c>
      <c r="AG33" s="159" t="s">
        <v>423</v>
      </c>
      <c r="AH33" s="155" t="s">
        <v>761</v>
      </c>
      <c r="AI33" s="159" t="s">
        <v>313</v>
      </c>
      <c r="AJ33" s="155" t="s">
        <v>313</v>
      </c>
      <c r="AK33" s="160" t="s">
        <v>126</v>
      </c>
      <c r="AL33" s="160" t="s">
        <v>129</v>
      </c>
      <c r="AM33" s="142"/>
      <c r="AN33" s="142"/>
      <c r="AO33" s="150"/>
      <c r="AP33" s="47">
        <v>1</v>
      </c>
      <c r="AQ33" s="19">
        <v>6.25E-2</v>
      </c>
      <c r="AR33" s="19">
        <v>0.20833333333333334</v>
      </c>
      <c r="AS33" s="16" t="s">
        <v>82</v>
      </c>
      <c r="AT33" s="16">
        <v>1</v>
      </c>
      <c r="AU33" s="16" t="s">
        <v>188</v>
      </c>
      <c r="AV33" s="16" t="s">
        <v>155</v>
      </c>
      <c r="AW33" s="16" t="s">
        <v>189</v>
      </c>
      <c r="AX33" s="16" t="s">
        <v>108</v>
      </c>
      <c r="AY33" s="16" t="s">
        <v>108</v>
      </c>
      <c r="AZ33" s="16" t="s">
        <v>108</v>
      </c>
      <c r="BA33" s="16" t="s">
        <v>190</v>
      </c>
      <c r="BB33" s="30" t="s">
        <v>129</v>
      </c>
      <c r="BC33" s="30" t="s">
        <v>126</v>
      </c>
      <c r="BD33" s="26"/>
      <c r="BE33" s="26"/>
      <c r="BF33" s="169"/>
      <c r="BG33" s="169"/>
      <c r="BH33" s="78" t="s">
        <v>424</v>
      </c>
      <c r="BI33" s="78" t="s">
        <v>424</v>
      </c>
      <c r="BJ33" s="78" t="s">
        <v>424</v>
      </c>
      <c r="BK33" s="78" t="s">
        <v>424</v>
      </c>
      <c r="BL33" s="78" t="s">
        <v>424</v>
      </c>
      <c r="BM33" s="78" t="s">
        <v>424</v>
      </c>
      <c r="BN33" s="65" t="s">
        <v>358</v>
      </c>
      <c r="BO33" s="67" t="s">
        <v>357</v>
      </c>
      <c r="BP33" s="66" t="s">
        <v>272</v>
      </c>
      <c r="BQ33" s="128" t="s">
        <v>616</v>
      </c>
      <c r="BR33" s="128">
        <f>13/317</f>
        <v>4.1009463722397478E-2</v>
      </c>
      <c r="BS33" s="123" t="s">
        <v>358</v>
      </c>
      <c r="BT33" s="66" t="s">
        <v>357</v>
      </c>
      <c r="BU33" s="66" t="s">
        <v>357</v>
      </c>
      <c r="BV33" s="128" t="s">
        <v>617</v>
      </c>
      <c r="BW33" s="128">
        <f>12/715</f>
        <v>1.6783216783216783E-2</v>
      </c>
      <c r="BX33" s="137"/>
      <c r="BY33">
        <v>130</v>
      </c>
      <c r="BZ33" t="s">
        <v>525</v>
      </c>
      <c r="CA33">
        <v>6</v>
      </c>
      <c r="CB33" t="s">
        <v>526</v>
      </c>
      <c r="CC33" s="5">
        <v>44543</v>
      </c>
      <c r="CD33" t="s">
        <v>527</v>
      </c>
      <c r="CE33">
        <v>1</v>
      </c>
      <c r="CF33" s="56">
        <v>0</v>
      </c>
      <c r="CG33" s="56">
        <v>0.125</v>
      </c>
      <c r="CH33" t="s">
        <v>583</v>
      </c>
      <c r="CI33" s="56">
        <v>0.20833333333333334</v>
      </c>
      <c r="CJ33" t="s">
        <v>560</v>
      </c>
      <c r="CK33" s="118">
        <v>1</v>
      </c>
      <c r="CL33" t="s">
        <v>210</v>
      </c>
      <c r="CM33" s="56" t="s">
        <v>119</v>
      </c>
      <c r="CN33">
        <v>0</v>
      </c>
      <c r="CO33">
        <v>0</v>
      </c>
      <c r="CP33">
        <v>2</v>
      </c>
      <c r="CQ33">
        <v>2</v>
      </c>
      <c r="CR33" t="s">
        <v>584</v>
      </c>
      <c r="CS33" s="133" t="s">
        <v>129</v>
      </c>
      <c r="CT33" s="133" t="s">
        <v>129</v>
      </c>
      <c r="CX33" t="s">
        <v>768</v>
      </c>
      <c r="CY33" s="170" t="s">
        <v>840</v>
      </c>
      <c r="DB33" s="172" t="s">
        <v>920</v>
      </c>
      <c r="DC33" s="174">
        <f>5/22</f>
        <v>0.22727272727272727</v>
      </c>
      <c r="DD33" t="s">
        <v>921</v>
      </c>
      <c r="DE33" s="175">
        <v>0</v>
      </c>
      <c r="DF33" t="s">
        <v>916</v>
      </c>
      <c r="DG33" s="175">
        <v>0</v>
      </c>
      <c r="DH33" t="s">
        <v>917</v>
      </c>
      <c r="DI33" s="175">
        <v>0</v>
      </c>
      <c r="DJ33" t="s">
        <v>918</v>
      </c>
      <c r="DK33" s="175">
        <f>85/430</f>
        <v>0.19767441860465115</v>
      </c>
      <c r="DL33" t="s">
        <v>919</v>
      </c>
      <c r="DM33" s="175">
        <v>0</v>
      </c>
    </row>
    <row r="34" spans="1:117" x14ac:dyDescent="0.3">
      <c r="A34" s="16">
        <v>31</v>
      </c>
      <c r="B34" s="16" t="s">
        <v>36</v>
      </c>
      <c r="C34" s="16">
        <v>7</v>
      </c>
      <c r="D34" s="16"/>
      <c r="E34" s="17">
        <v>44252</v>
      </c>
      <c r="F34" s="16" t="s">
        <v>192</v>
      </c>
      <c r="G34" s="16">
        <v>313</v>
      </c>
      <c r="H34" s="82">
        <v>1</v>
      </c>
      <c r="I34" s="16" t="s">
        <v>200</v>
      </c>
      <c r="J34" s="21">
        <v>0</v>
      </c>
      <c r="K34" s="16"/>
      <c r="L34" s="16"/>
      <c r="M34" s="16"/>
      <c r="N34" s="16"/>
      <c r="O34" s="16" t="s">
        <v>193</v>
      </c>
      <c r="X34" s="8" t="s">
        <v>136</v>
      </c>
      <c r="Y34" s="12" t="s">
        <v>126</v>
      </c>
      <c r="Z34" s="26" t="s">
        <v>161</v>
      </c>
      <c r="AA34" s="26" t="s">
        <v>1010</v>
      </c>
      <c r="AC34" s="156"/>
      <c r="AD34" s="157"/>
      <c r="AE34" s="156"/>
      <c r="AF34" s="157"/>
      <c r="AG34" s="156"/>
      <c r="AH34" s="157"/>
      <c r="AI34" s="156" t="s">
        <v>313</v>
      </c>
      <c r="AJ34" s="157" t="s">
        <v>313</v>
      </c>
      <c r="AK34" s="158" t="s">
        <v>126</v>
      </c>
      <c r="AL34" s="158" t="s">
        <v>126</v>
      </c>
      <c r="AP34" s="47">
        <v>1</v>
      </c>
      <c r="AQ34" s="19">
        <v>0.10416666666666667</v>
      </c>
      <c r="AR34" s="19">
        <v>0.20833333333333334</v>
      </c>
      <c r="AS34" s="16" t="s">
        <v>82</v>
      </c>
      <c r="AT34" s="16">
        <v>1</v>
      </c>
      <c r="AU34" s="16" t="s">
        <v>116</v>
      </c>
      <c r="AV34" s="16" t="s">
        <v>155</v>
      </c>
      <c r="AW34" s="16">
        <v>1</v>
      </c>
      <c r="AX34" s="16">
        <v>2</v>
      </c>
      <c r="AY34" s="16">
        <v>2</v>
      </c>
      <c r="AZ34" s="16">
        <v>2</v>
      </c>
      <c r="BA34" s="16" t="s">
        <v>194</v>
      </c>
      <c r="BB34" s="109" t="s">
        <v>129</v>
      </c>
      <c r="BC34" s="109" t="s">
        <v>129</v>
      </c>
      <c r="BD34" s="26"/>
      <c r="BE34" s="26"/>
      <c r="BF34" s="26"/>
      <c r="BG34" s="26"/>
      <c r="BH34" s="40" t="s">
        <v>272</v>
      </c>
      <c r="BI34" t="s">
        <v>357</v>
      </c>
      <c r="BJ34" t="s">
        <v>357</v>
      </c>
      <c r="BK34" t="s">
        <v>357</v>
      </c>
      <c r="BL34" t="s">
        <v>272</v>
      </c>
      <c r="BM34" t="s">
        <v>357</v>
      </c>
      <c r="BN34" s="40" t="s">
        <v>272</v>
      </c>
      <c r="BO34" t="s">
        <v>357</v>
      </c>
      <c r="BP34" t="s">
        <v>357</v>
      </c>
      <c r="BQ34" s="183"/>
      <c r="BR34" s="183"/>
      <c r="BS34" s="81" t="s">
        <v>357</v>
      </c>
      <c r="BT34" t="s">
        <v>272</v>
      </c>
      <c r="BU34" t="s">
        <v>357</v>
      </c>
      <c r="BV34" s="183"/>
      <c r="BW34" s="183"/>
      <c r="BX34" s="137"/>
      <c r="BY34">
        <v>131</v>
      </c>
      <c r="BZ34" t="s">
        <v>522</v>
      </c>
      <c r="CA34">
        <v>7</v>
      </c>
      <c r="CB34" t="s">
        <v>523</v>
      </c>
      <c r="CC34" s="5">
        <v>44519</v>
      </c>
      <c r="CD34" t="s">
        <v>524</v>
      </c>
      <c r="CE34">
        <v>1</v>
      </c>
      <c r="CF34" s="56">
        <v>0.10416666666666667</v>
      </c>
      <c r="CG34" s="56">
        <v>0.125</v>
      </c>
      <c r="CH34" t="s">
        <v>572</v>
      </c>
      <c r="CI34" s="56">
        <v>0.20833333333333334</v>
      </c>
      <c r="CJ34" t="s">
        <v>560</v>
      </c>
      <c r="CK34" s="118">
        <v>1</v>
      </c>
      <c r="CL34" t="s">
        <v>105</v>
      </c>
      <c r="CM34" s="56" t="s">
        <v>223</v>
      </c>
      <c r="CN34">
        <v>1</v>
      </c>
      <c r="CO34">
        <v>2</v>
      </c>
      <c r="CP34">
        <v>1</v>
      </c>
      <c r="CQ34">
        <v>2</v>
      </c>
      <c r="CR34" t="s">
        <v>582</v>
      </c>
      <c r="CS34" s="133" t="s">
        <v>129</v>
      </c>
      <c r="CT34" s="133" t="s">
        <v>129</v>
      </c>
      <c r="CU34" s="147"/>
      <c r="CX34" s="170" t="s">
        <v>841</v>
      </c>
      <c r="CY34" s="170" t="s">
        <v>839</v>
      </c>
      <c r="DB34" t="s">
        <v>924</v>
      </c>
      <c r="DC34" s="175">
        <f>5/220</f>
        <v>2.2727272727272728E-2</v>
      </c>
      <c r="DD34" t="s">
        <v>925</v>
      </c>
      <c r="DE34" s="175">
        <v>0</v>
      </c>
      <c r="DF34" t="s">
        <v>922</v>
      </c>
      <c r="DG34" s="175">
        <f>8/263</f>
        <v>3.0418250950570342E-2</v>
      </c>
      <c r="DH34" t="s">
        <v>923</v>
      </c>
      <c r="DI34" s="175">
        <v>0</v>
      </c>
      <c r="DJ34" t="s">
        <v>999</v>
      </c>
      <c r="DL34" t="s">
        <v>1000</v>
      </c>
    </row>
    <row r="35" spans="1:117" s="15" customFormat="1" x14ac:dyDescent="0.3">
      <c r="A35" s="63">
        <v>32</v>
      </c>
      <c r="B35" s="16" t="s">
        <v>195</v>
      </c>
      <c r="C35" s="16">
        <v>8</v>
      </c>
      <c r="D35" s="16"/>
      <c r="E35" s="17">
        <v>44253</v>
      </c>
      <c r="F35" s="16" t="s">
        <v>196</v>
      </c>
      <c r="G35" s="16">
        <v>298</v>
      </c>
      <c r="H35" s="82">
        <v>1</v>
      </c>
      <c r="I35" s="16" t="s">
        <v>200</v>
      </c>
      <c r="J35" s="16">
        <v>1</v>
      </c>
      <c r="K35" s="16">
        <v>0</v>
      </c>
      <c r="L35" s="16">
        <v>2</v>
      </c>
      <c r="M35" s="16">
        <v>1</v>
      </c>
      <c r="N35" s="16">
        <v>1</v>
      </c>
      <c r="O35" s="16" t="s">
        <v>197</v>
      </c>
      <c r="P35" s="14"/>
      <c r="Q35" s="14" t="s">
        <v>125</v>
      </c>
      <c r="R35" s="14" t="s">
        <v>129</v>
      </c>
      <c r="S35" s="14" t="s">
        <v>129</v>
      </c>
      <c r="T35" s="20" t="s">
        <v>129</v>
      </c>
      <c r="U35" s="20" t="s">
        <v>126</v>
      </c>
      <c r="V35" s="20" t="s">
        <v>129</v>
      </c>
      <c r="W35" s="20" t="s">
        <v>126</v>
      </c>
      <c r="X35" s="20"/>
      <c r="Y35" s="20" t="s">
        <v>129</v>
      </c>
      <c r="Z35" s="27" t="s">
        <v>126</v>
      </c>
      <c r="AA35" s="179">
        <v>1</v>
      </c>
      <c r="AB35" s="184" t="s">
        <v>1028</v>
      </c>
      <c r="AC35" s="161" t="s">
        <v>307</v>
      </c>
      <c r="AD35" s="161" t="s">
        <v>307</v>
      </c>
      <c r="AE35" s="159" t="s">
        <v>309</v>
      </c>
      <c r="AF35" s="155" t="s">
        <v>758</v>
      </c>
      <c r="AG35" s="159" t="s">
        <v>472</v>
      </c>
      <c r="AH35" s="155" t="s">
        <v>760</v>
      </c>
      <c r="AI35" s="159" t="s">
        <v>313</v>
      </c>
      <c r="AJ35" s="155" t="s">
        <v>313</v>
      </c>
      <c r="AK35" s="160" t="s">
        <v>129</v>
      </c>
      <c r="AL35" s="160" t="s">
        <v>129</v>
      </c>
      <c r="AM35" s="143"/>
      <c r="AN35" s="143"/>
      <c r="AO35" s="151"/>
      <c r="AP35" s="47">
        <v>1</v>
      </c>
      <c r="AQ35" s="19">
        <v>0.10416666666666667</v>
      </c>
      <c r="AR35" s="19">
        <v>0.20833333333333334</v>
      </c>
      <c r="AS35" s="16" t="s">
        <v>82</v>
      </c>
      <c r="AT35" s="16">
        <v>1</v>
      </c>
      <c r="AU35" s="16" t="s">
        <v>105</v>
      </c>
      <c r="AV35" s="16" t="s">
        <v>155</v>
      </c>
      <c r="AW35" s="16">
        <v>2</v>
      </c>
      <c r="AX35" s="16">
        <v>2</v>
      </c>
      <c r="AY35" s="16">
        <v>2</v>
      </c>
      <c r="AZ35" s="16">
        <v>2</v>
      </c>
      <c r="BA35" s="16"/>
      <c r="BB35" s="110" t="s">
        <v>129</v>
      </c>
      <c r="BC35" s="110" t="s">
        <v>129</v>
      </c>
      <c r="BD35" s="153"/>
      <c r="BE35" s="153"/>
      <c r="BF35" s="167" t="s">
        <v>775</v>
      </c>
      <c r="BG35" s="167" t="s">
        <v>776</v>
      </c>
      <c r="BH35" s="65" t="s">
        <v>272</v>
      </c>
      <c r="BI35" s="66" t="s">
        <v>357</v>
      </c>
      <c r="BJ35" s="67" t="s">
        <v>357</v>
      </c>
      <c r="BK35" s="66" t="s">
        <v>358</v>
      </c>
      <c r="BL35" s="67" t="s">
        <v>357</v>
      </c>
      <c r="BM35" s="66" t="s">
        <v>357</v>
      </c>
      <c r="BN35" s="65" t="s">
        <v>272</v>
      </c>
      <c r="BO35" s="67" t="s">
        <v>384</v>
      </c>
      <c r="BP35" s="66" t="s">
        <v>357</v>
      </c>
      <c r="BQ35" s="128" t="s">
        <v>698</v>
      </c>
      <c r="BR35" s="128">
        <f>7/372</f>
        <v>1.8817204301075269E-2</v>
      </c>
      <c r="BS35" s="121" t="s">
        <v>358</v>
      </c>
      <c r="BT35" s="67" t="s">
        <v>357</v>
      </c>
      <c r="BU35" s="66" t="s">
        <v>357</v>
      </c>
      <c r="BV35" s="128" t="s">
        <v>699</v>
      </c>
      <c r="BW35" s="128">
        <f>0/621</f>
        <v>0</v>
      </c>
      <c r="BX35" s="136"/>
      <c r="BY35" s="136"/>
      <c r="BZ35" s="136"/>
      <c r="CA35" s="136"/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136"/>
      <c r="CP35" s="136"/>
      <c r="CQ35" s="136"/>
      <c r="CR35" s="136"/>
      <c r="CS35" s="136"/>
      <c r="CT35" s="136"/>
      <c r="CX35" s="171" t="s">
        <v>108</v>
      </c>
      <c r="CY35" s="171" t="s">
        <v>108</v>
      </c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</row>
    <row r="36" spans="1:117" s="15" customFormat="1" x14ac:dyDescent="0.3">
      <c r="A36" s="63">
        <v>33</v>
      </c>
      <c r="B36" s="16" t="s">
        <v>169</v>
      </c>
      <c r="C36" s="16">
        <v>1</v>
      </c>
      <c r="D36" s="16"/>
      <c r="E36" s="17">
        <v>44258</v>
      </c>
      <c r="F36" s="16" t="s">
        <v>203</v>
      </c>
      <c r="G36" s="16">
        <v>278</v>
      </c>
      <c r="H36" s="82">
        <v>1</v>
      </c>
      <c r="I36" s="15" t="s">
        <v>200</v>
      </c>
      <c r="J36" s="16">
        <v>1</v>
      </c>
      <c r="K36" s="16">
        <v>0</v>
      </c>
      <c r="L36" s="16">
        <v>2</v>
      </c>
      <c r="M36" s="16">
        <v>1</v>
      </c>
      <c r="N36" s="16">
        <v>1</v>
      </c>
      <c r="O36" s="16" t="s">
        <v>197</v>
      </c>
      <c r="P36" s="14" t="s">
        <v>204</v>
      </c>
      <c r="Q36" s="14" t="s">
        <v>125</v>
      </c>
      <c r="R36" s="14" t="s">
        <v>129</v>
      </c>
      <c r="S36" s="14" t="s">
        <v>129</v>
      </c>
      <c r="T36" s="20" t="s">
        <v>129</v>
      </c>
      <c r="U36" s="20" t="s">
        <v>126</v>
      </c>
      <c r="V36" s="20" t="s">
        <v>129</v>
      </c>
      <c r="W36" s="20" t="s">
        <v>126</v>
      </c>
      <c r="X36" s="14"/>
      <c r="Y36" s="20" t="s">
        <v>129</v>
      </c>
      <c r="Z36" s="27" t="s">
        <v>126</v>
      </c>
      <c r="AA36" s="179">
        <v>1</v>
      </c>
      <c r="AB36" s="184" t="s">
        <v>1029</v>
      </c>
      <c r="AC36" s="159" t="s">
        <v>181</v>
      </c>
      <c r="AD36" s="155" t="s">
        <v>181</v>
      </c>
      <c r="AE36" s="159" t="s">
        <v>309</v>
      </c>
      <c r="AF36" s="155" t="s">
        <v>758</v>
      </c>
      <c r="AG36" s="159" t="s">
        <v>472</v>
      </c>
      <c r="AH36" s="155" t="s">
        <v>757</v>
      </c>
      <c r="AI36" s="159" t="s">
        <v>313</v>
      </c>
      <c r="AJ36" s="155" t="s">
        <v>313</v>
      </c>
      <c r="AK36" s="160" t="s">
        <v>129</v>
      </c>
      <c r="AL36" s="160" t="s">
        <v>129</v>
      </c>
      <c r="AM36" s="143"/>
      <c r="AN36" s="143"/>
      <c r="AO36" s="151"/>
      <c r="AP36" s="47">
        <v>1</v>
      </c>
      <c r="AQ36" s="19">
        <v>6.25E-2</v>
      </c>
      <c r="AR36" s="19">
        <v>0.20833333333333334</v>
      </c>
      <c r="AS36" s="16" t="s">
        <v>82</v>
      </c>
      <c r="AT36" s="16">
        <v>1</v>
      </c>
      <c r="AU36" s="16" t="s">
        <v>105</v>
      </c>
      <c r="AV36" s="16" t="s">
        <v>106</v>
      </c>
      <c r="AW36" s="16">
        <v>2</v>
      </c>
      <c r="AX36" s="16">
        <v>2</v>
      </c>
      <c r="AY36" s="16">
        <v>2</v>
      </c>
      <c r="AZ36" s="16">
        <v>2</v>
      </c>
      <c r="BA36" s="16" t="s">
        <v>205</v>
      </c>
      <c r="BB36" s="110" t="s">
        <v>129</v>
      </c>
      <c r="BC36" s="110" t="s">
        <v>129</v>
      </c>
      <c r="BD36" s="153"/>
      <c r="BE36" s="153"/>
      <c r="BF36" s="167" t="s">
        <v>777</v>
      </c>
      <c r="BG36" s="167" t="s">
        <v>778</v>
      </c>
      <c r="BH36" s="65" t="s">
        <v>272</v>
      </c>
      <c r="BI36" s="67" t="s">
        <v>357</v>
      </c>
      <c r="BJ36" s="66" t="s">
        <v>357</v>
      </c>
      <c r="BK36" s="67" t="s">
        <v>357</v>
      </c>
      <c r="BL36" s="66" t="s">
        <v>272</v>
      </c>
      <c r="BM36" s="66" t="s">
        <v>357</v>
      </c>
      <c r="BN36" s="65" t="s">
        <v>272</v>
      </c>
      <c r="BO36" s="67" t="s">
        <v>357</v>
      </c>
      <c r="BP36" s="66" t="s">
        <v>357</v>
      </c>
      <c r="BQ36" s="128" t="s">
        <v>618</v>
      </c>
      <c r="BR36" s="128">
        <f>5/307</f>
        <v>1.6286644951140065E-2</v>
      </c>
      <c r="BS36" s="123" t="s">
        <v>358</v>
      </c>
      <c r="BT36" s="66" t="s">
        <v>272</v>
      </c>
      <c r="BU36" s="66" t="s">
        <v>357</v>
      </c>
      <c r="BV36" s="128" t="s">
        <v>619</v>
      </c>
      <c r="BW36" s="128">
        <f>6/682</f>
        <v>8.7976539589442824E-3</v>
      </c>
      <c r="BX36" s="71" t="s">
        <v>750</v>
      </c>
      <c r="BY36">
        <v>133</v>
      </c>
      <c r="BZ36" t="s">
        <v>533</v>
      </c>
      <c r="CA36">
        <v>1</v>
      </c>
      <c r="CB36"/>
      <c r="CC36" s="5">
        <v>44743</v>
      </c>
      <c r="CD36"/>
      <c r="CE36">
        <v>1</v>
      </c>
      <c r="CF36" s="56">
        <v>5.347222222222222E-2</v>
      </c>
      <c r="CG36" s="56">
        <v>9.7916666666666666E-2</v>
      </c>
      <c r="CH36" t="s">
        <v>572</v>
      </c>
      <c r="CI36" s="56">
        <v>7.6388888888888895E-2</v>
      </c>
      <c r="CJ36" t="s">
        <v>560</v>
      </c>
      <c r="CK36" s="118">
        <v>1</v>
      </c>
      <c r="CL36" t="s">
        <v>116</v>
      </c>
      <c r="CM36" s="56" t="s">
        <v>119</v>
      </c>
      <c r="CN36">
        <v>1</v>
      </c>
      <c r="CO36">
        <v>1</v>
      </c>
      <c r="CP36">
        <v>1</v>
      </c>
      <c r="CQ36">
        <v>1</v>
      </c>
      <c r="CR36" t="s">
        <v>589</v>
      </c>
      <c r="CS36" s="133" t="s">
        <v>129</v>
      </c>
      <c r="CT36" s="133" t="s">
        <v>129</v>
      </c>
      <c r="CU36" s="147"/>
      <c r="CX36" s="170" t="s">
        <v>788</v>
      </c>
      <c r="CY36" s="170" t="s">
        <v>842</v>
      </c>
      <c r="DB36" s="173" t="s">
        <v>930</v>
      </c>
      <c r="DC36" s="176">
        <f>7/89</f>
        <v>7.8651685393258425E-2</v>
      </c>
      <c r="DD36" s="173" t="s">
        <v>931</v>
      </c>
      <c r="DE36" s="176">
        <v>0</v>
      </c>
      <c r="DF36" s="173" t="s">
        <v>926</v>
      </c>
      <c r="DG36" s="176">
        <f>3/160</f>
        <v>1.8749999999999999E-2</v>
      </c>
      <c r="DH36" s="173" t="s">
        <v>927</v>
      </c>
      <c r="DI36" s="176">
        <v>0</v>
      </c>
      <c r="DJ36" s="173" t="s">
        <v>928</v>
      </c>
      <c r="DK36" s="176">
        <f>7/121</f>
        <v>5.7851239669421489E-2</v>
      </c>
      <c r="DL36" s="173" t="s">
        <v>929</v>
      </c>
      <c r="DM36" s="176">
        <f>12/231</f>
        <v>5.1948051948051951E-2</v>
      </c>
    </row>
    <row r="37" spans="1:117" s="15" customFormat="1" x14ac:dyDescent="0.3">
      <c r="A37" s="63">
        <v>34</v>
      </c>
      <c r="B37" s="16" t="s">
        <v>169</v>
      </c>
      <c r="C37" s="16">
        <v>2</v>
      </c>
      <c r="D37" s="16"/>
      <c r="E37" s="17">
        <v>44259</v>
      </c>
      <c r="F37" s="16" t="s">
        <v>206</v>
      </c>
      <c r="G37" s="16">
        <v>314</v>
      </c>
      <c r="H37" s="82">
        <v>2</v>
      </c>
      <c r="I37" s="15" t="s">
        <v>201</v>
      </c>
      <c r="J37" s="16">
        <v>1</v>
      </c>
      <c r="K37" s="16">
        <v>0</v>
      </c>
      <c r="L37" s="16">
        <v>2</v>
      </c>
      <c r="M37" s="16">
        <v>1</v>
      </c>
      <c r="N37" s="16">
        <v>1</v>
      </c>
      <c r="O37" s="16" t="s">
        <v>207</v>
      </c>
      <c r="P37" s="14"/>
      <c r="Q37" s="14" t="s">
        <v>125</v>
      </c>
      <c r="R37" s="14" t="s">
        <v>129</v>
      </c>
      <c r="S37" s="14" t="s">
        <v>129</v>
      </c>
      <c r="T37" s="20" t="s">
        <v>129</v>
      </c>
      <c r="U37" s="20" t="s">
        <v>126</v>
      </c>
      <c r="V37" s="20" t="s">
        <v>129</v>
      </c>
      <c r="W37" s="20" t="s">
        <v>126</v>
      </c>
      <c r="X37" s="14"/>
      <c r="Y37" s="20" t="s">
        <v>129</v>
      </c>
      <c r="Z37" s="27" t="s">
        <v>126</v>
      </c>
      <c r="AA37" s="180" t="s">
        <v>1012</v>
      </c>
      <c r="AB37" s="180"/>
      <c r="AC37" s="220" t="s">
        <v>213</v>
      </c>
      <c r="AD37" s="221"/>
      <c r="AE37" s="221"/>
      <c r="AF37" s="221"/>
      <c r="AG37" s="221"/>
      <c r="AH37" s="222"/>
      <c r="AI37" s="156" t="s">
        <v>313</v>
      </c>
      <c r="AJ37" s="157" t="s">
        <v>313</v>
      </c>
      <c r="AK37" s="158" t="s">
        <v>129</v>
      </c>
      <c r="AL37" s="158" t="s">
        <v>129</v>
      </c>
      <c r="AM37" s="140"/>
      <c r="AN37" s="140"/>
      <c r="AO37" s="140"/>
      <c r="AP37" s="47">
        <v>1</v>
      </c>
      <c r="AQ37" s="19">
        <v>6.25E-2</v>
      </c>
      <c r="AR37" s="16" t="s">
        <v>208</v>
      </c>
      <c r="AS37" s="16" t="s">
        <v>209</v>
      </c>
      <c r="AT37" s="16">
        <v>1</v>
      </c>
      <c r="AU37" s="16" t="s">
        <v>210</v>
      </c>
      <c r="AV37" s="16" t="s">
        <v>211</v>
      </c>
      <c r="AW37" s="16">
        <v>1</v>
      </c>
      <c r="AX37" s="16">
        <v>2</v>
      </c>
      <c r="AY37" s="16">
        <v>2</v>
      </c>
      <c r="AZ37" s="16">
        <v>2</v>
      </c>
      <c r="BA37" s="16" t="s">
        <v>212</v>
      </c>
      <c r="BB37" s="152" t="s">
        <v>763</v>
      </c>
      <c r="BC37" s="110" t="s">
        <v>129</v>
      </c>
      <c r="BD37" s="153"/>
      <c r="BE37" s="153"/>
      <c r="BF37" s="166" t="s">
        <v>779</v>
      </c>
      <c r="BG37" s="166" t="s">
        <v>780</v>
      </c>
      <c r="BH37" s="65" t="s">
        <v>358</v>
      </c>
      <c r="BI37" s="67" t="s">
        <v>357</v>
      </c>
      <c r="BJ37" s="66" t="s">
        <v>357</v>
      </c>
      <c r="BK37" s="67" t="s">
        <v>358</v>
      </c>
      <c r="BL37" s="66" t="s">
        <v>272</v>
      </c>
      <c r="BM37" s="66" t="s">
        <v>272</v>
      </c>
      <c r="BN37" s="65" t="s">
        <v>358</v>
      </c>
      <c r="BO37" s="67" t="s">
        <v>357</v>
      </c>
      <c r="BP37" s="66" t="s">
        <v>357</v>
      </c>
      <c r="BQ37" s="128" t="s">
        <v>620</v>
      </c>
      <c r="BR37" s="128">
        <f>0/352</f>
        <v>0</v>
      </c>
      <c r="BS37" s="123" t="s">
        <v>358</v>
      </c>
      <c r="BT37" s="66" t="s">
        <v>272</v>
      </c>
      <c r="BU37" s="66" t="s">
        <v>272</v>
      </c>
      <c r="BV37" s="128" t="s">
        <v>622</v>
      </c>
      <c r="BW37" s="128">
        <f>0/559</f>
        <v>0</v>
      </c>
      <c r="BX37" s="71" t="s">
        <v>750</v>
      </c>
      <c r="BY37">
        <v>134</v>
      </c>
      <c r="BZ37" t="s">
        <v>512</v>
      </c>
      <c r="CA37">
        <v>3</v>
      </c>
      <c r="CB37"/>
      <c r="CC37" s="5">
        <v>44496</v>
      </c>
      <c r="CD37" t="s">
        <v>513</v>
      </c>
      <c r="CE37">
        <v>1</v>
      </c>
      <c r="CF37" s="56">
        <v>0.10416666666666667</v>
      </c>
      <c r="CG37" s="56">
        <v>0.125</v>
      </c>
      <c r="CH37" t="s">
        <v>572</v>
      </c>
      <c r="CI37" s="56">
        <v>0.20833333333333334</v>
      </c>
      <c r="CJ37" t="s">
        <v>560</v>
      </c>
      <c r="CK37" s="118">
        <v>1</v>
      </c>
      <c r="CL37" t="s">
        <v>111</v>
      </c>
      <c r="CM37" s="56" t="s">
        <v>106</v>
      </c>
      <c r="CN37">
        <v>0</v>
      </c>
      <c r="CO37" s="56" t="s">
        <v>126</v>
      </c>
      <c r="CP37">
        <v>1</v>
      </c>
      <c r="CQ37" s="56" t="s">
        <v>126</v>
      </c>
      <c r="CR37"/>
      <c r="CS37" s="133" t="s">
        <v>129</v>
      </c>
      <c r="CT37" s="133" t="s">
        <v>129</v>
      </c>
      <c r="CU37" s="147"/>
      <c r="CX37" s="171" t="s">
        <v>768</v>
      </c>
      <c r="CY37" s="170" t="s">
        <v>843</v>
      </c>
      <c r="DB37" s="173"/>
      <c r="DC37" s="173"/>
      <c r="DD37" s="173" t="s">
        <v>424</v>
      </c>
      <c r="DE37" s="173"/>
      <c r="DF37" s="173"/>
      <c r="DG37" s="173"/>
      <c r="DH37" s="173" t="s">
        <v>424</v>
      </c>
      <c r="DI37" s="173"/>
      <c r="DJ37" s="173"/>
      <c r="DK37" s="173"/>
      <c r="DL37" s="173" t="s">
        <v>424</v>
      </c>
      <c r="DM37" s="173"/>
    </row>
    <row r="38" spans="1:117" s="15" customFormat="1" x14ac:dyDescent="0.3">
      <c r="A38" s="63">
        <v>35</v>
      </c>
      <c r="B38" s="16" t="s">
        <v>169</v>
      </c>
      <c r="C38" s="16">
        <v>3</v>
      </c>
      <c r="D38" s="16"/>
      <c r="E38" s="17">
        <v>44260</v>
      </c>
      <c r="F38" s="16" t="s">
        <v>214</v>
      </c>
      <c r="G38" s="16">
        <v>277</v>
      </c>
      <c r="H38" s="82">
        <v>2</v>
      </c>
      <c r="I38" s="15" t="s">
        <v>216</v>
      </c>
      <c r="J38" s="16">
        <v>1</v>
      </c>
      <c r="K38" s="16">
        <v>0</v>
      </c>
      <c r="L38" s="16">
        <v>2</v>
      </c>
      <c r="M38" s="16">
        <v>1</v>
      </c>
      <c r="N38" s="16">
        <v>1</v>
      </c>
      <c r="O38" s="16"/>
      <c r="P38" s="14"/>
      <c r="Q38" s="14" t="s">
        <v>125</v>
      </c>
      <c r="R38" s="14" t="s">
        <v>129</v>
      </c>
      <c r="S38" s="14" t="s">
        <v>129</v>
      </c>
      <c r="T38" s="20" t="s">
        <v>129</v>
      </c>
      <c r="U38" s="20" t="s">
        <v>126</v>
      </c>
      <c r="V38" s="20" t="s">
        <v>129</v>
      </c>
      <c r="W38" s="20" t="s">
        <v>126</v>
      </c>
      <c r="X38" s="14"/>
      <c r="Y38" s="20" t="s">
        <v>129</v>
      </c>
      <c r="Z38" s="27" t="s">
        <v>126</v>
      </c>
      <c r="AA38" s="179">
        <v>1</v>
      </c>
      <c r="AB38" s="184" t="s">
        <v>1030</v>
      </c>
      <c r="AC38" s="159" t="s">
        <v>181</v>
      </c>
      <c r="AD38" s="155" t="s">
        <v>181</v>
      </c>
      <c r="AE38" s="159" t="s">
        <v>308</v>
      </c>
      <c r="AF38" s="155" t="s">
        <v>758</v>
      </c>
      <c r="AG38" s="159" t="s">
        <v>472</v>
      </c>
      <c r="AH38" s="155" t="s">
        <v>757</v>
      </c>
      <c r="AI38" s="159" t="s">
        <v>313</v>
      </c>
      <c r="AJ38" s="155" t="s">
        <v>313</v>
      </c>
      <c r="AK38" s="160" t="s">
        <v>129</v>
      </c>
      <c r="AL38" s="160" t="s">
        <v>129</v>
      </c>
      <c r="AM38" s="143"/>
      <c r="AN38" s="143"/>
      <c r="AO38" s="151"/>
      <c r="AP38" s="47">
        <v>1</v>
      </c>
      <c r="AQ38" s="19">
        <v>0.10416666666666667</v>
      </c>
      <c r="AR38" s="16">
        <v>5</v>
      </c>
      <c r="AS38" s="16" t="s">
        <v>82</v>
      </c>
      <c r="AT38" s="16">
        <v>1</v>
      </c>
      <c r="AU38" s="16" t="s">
        <v>210</v>
      </c>
      <c r="AV38" s="16" t="s">
        <v>155</v>
      </c>
      <c r="AW38" s="16">
        <v>1</v>
      </c>
      <c r="AX38" s="16">
        <v>2</v>
      </c>
      <c r="AY38" s="16">
        <v>2</v>
      </c>
      <c r="AZ38" s="16">
        <v>2</v>
      </c>
      <c r="BA38" s="16" t="s">
        <v>215</v>
      </c>
      <c r="BB38" s="110" t="s">
        <v>129</v>
      </c>
      <c r="BC38" s="110" t="s">
        <v>129</v>
      </c>
      <c r="BD38" s="32"/>
      <c r="BE38" s="32"/>
      <c r="BF38" s="168" t="s">
        <v>108</v>
      </c>
      <c r="BG38" s="168" t="s">
        <v>108</v>
      </c>
      <c r="BH38" s="65" t="s">
        <v>362</v>
      </c>
      <c r="BI38" s="67" t="s">
        <v>357</v>
      </c>
      <c r="BJ38" s="66" t="s">
        <v>357</v>
      </c>
      <c r="BK38" s="66" t="s">
        <v>359</v>
      </c>
      <c r="BL38" s="66" t="s">
        <v>272</v>
      </c>
      <c r="BM38" s="67" t="s">
        <v>358</v>
      </c>
      <c r="BN38" s="65" t="s">
        <v>273</v>
      </c>
      <c r="BO38" s="66" t="s">
        <v>357</v>
      </c>
      <c r="BP38" s="67" t="s">
        <v>357</v>
      </c>
      <c r="BQ38" s="128" t="s">
        <v>623</v>
      </c>
      <c r="BR38" s="128">
        <f>6/416</f>
        <v>1.4423076923076924E-2</v>
      </c>
      <c r="BS38" s="121" t="s">
        <v>359</v>
      </c>
      <c r="BT38" s="67" t="s">
        <v>357</v>
      </c>
      <c r="BU38" s="66" t="s">
        <v>358</v>
      </c>
      <c r="BV38" s="128" t="s">
        <v>624</v>
      </c>
      <c r="BW38" s="128">
        <f>0/601</f>
        <v>0</v>
      </c>
      <c r="BX38" s="136"/>
      <c r="BY38" s="136"/>
      <c r="BZ38" s="136"/>
      <c r="CA38" s="136"/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6"/>
      <c r="CO38" s="136"/>
      <c r="CP38" s="136"/>
      <c r="CQ38" s="136"/>
      <c r="CR38" s="136"/>
      <c r="CS38" s="136"/>
      <c r="CT38" s="136"/>
      <c r="CX38" s="171" t="s">
        <v>108</v>
      </c>
      <c r="CY38" s="171" t="s">
        <v>108</v>
      </c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</row>
    <row r="39" spans="1:117" s="15" customFormat="1" x14ac:dyDescent="0.3">
      <c r="A39" s="16">
        <v>36</v>
      </c>
      <c r="B39" s="16" t="s">
        <v>217</v>
      </c>
      <c r="C39" s="16">
        <v>4</v>
      </c>
      <c r="D39" s="16"/>
      <c r="E39" s="17">
        <v>44263</v>
      </c>
      <c r="F39" s="16" t="s">
        <v>25</v>
      </c>
      <c r="G39" s="16">
        <v>291</v>
      </c>
      <c r="H39" s="82">
        <v>1</v>
      </c>
      <c r="I39" s="15" t="s">
        <v>200</v>
      </c>
      <c r="J39" s="16">
        <v>1</v>
      </c>
      <c r="K39" s="16">
        <v>1</v>
      </c>
      <c r="L39" s="16">
        <v>2</v>
      </c>
      <c r="M39" s="16">
        <v>1</v>
      </c>
      <c r="N39" s="16">
        <v>1</v>
      </c>
      <c r="O39" s="16" t="s">
        <v>219</v>
      </c>
      <c r="P39" s="14"/>
      <c r="Q39" s="14" t="s">
        <v>125</v>
      </c>
      <c r="R39" s="14" t="s">
        <v>129</v>
      </c>
      <c r="S39" s="14" t="s">
        <v>129</v>
      </c>
      <c r="T39" s="29" t="s">
        <v>126</v>
      </c>
      <c r="U39" s="20" t="s">
        <v>161</v>
      </c>
      <c r="V39" s="20" t="s">
        <v>161</v>
      </c>
      <c r="W39" s="20" t="s">
        <v>129</v>
      </c>
      <c r="X39" s="14" t="s">
        <v>163</v>
      </c>
      <c r="Y39" s="23" t="s">
        <v>126</v>
      </c>
      <c r="Z39" s="27"/>
      <c r="AA39" s="180" t="s">
        <v>1006</v>
      </c>
      <c r="AB39" s="180"/>
      <c r="AC39" s="156"/>
      <c r="AD39" s="157"/>
      <c r="AE39" s="156"/>
      <c r="AF39" s="157"/>
      <c r="AG39" s="156"/>
      <c r="AH39" s="157"/>
      <c r="AI39" s="156" t="s">
        <v>313</v>
      </c>
      <c r="AJ39" s="157" t="s">
        <v>313</v>
      </c>
      <c r="AK39" s="158" t="s">
        <v>126</v>
      </c>
      <c r="AL39" s="158" t="s">
        <v>126</v>
      </c>
      <c r="AM39" s="140"/>
      <c r="AN39" s="140"/>
      <c r="AO39" s="140"/>
      <c r="AP39" s="47">
        <v>1</v>
      </c>
      <c r="AQ39" s="19">
        <v>6.25E-2</v>
      </c>
      <c r="AR39" s="16" t="s">
        <v>208</v>
      </c>
      <c r="AS39" s="16" t="s">
        <v>209</v>
      </c>
      <c r="AT39" s="16">
        <v>1</v>
      </c>
      <c r="AU39" s="16" t="s">
        <v>116</v>
      </c>
      <c r="AV39" s="16" t="s">
        <v>106</v>
      </c>
      <c r="AW39" s="16">
        <v>1</v>
      </c>
      <c r="AX39" s="16">
        <v>0</v>
      </c>
      <c r="AY39" s="16">
        <v>1</v>
      </c>
      <c r="AZ39" s="16">
        <v>2</v>
      </c>
      <c r="BA39" s="16" t="s">
        <v>221</v>
      </c>
      <c r="BB39" s="112" t="s">
        <v>129</v>
      </c>
      <c r="BC39" s="110" t="s">
        <v>129</v>
      </c>
      <c r="BD39" s="32"/>
      <c r="BE39" s="32"/>
      <c r="BF39" s="165" t="s">
        <v>768</v>
      </c>
      <c r="BG39" s="166" t="s">
        <v>781</v>
      </c>
      <c r="BH39" s="40" t="s">
        <v>272</v>
      </c>
      <c r="BI39" t="s">
        <v>272</v>
      </c>
      <c r="BJ39" t="s">
        <v>272</v>
      </c>
      <c r="BK39" t="s">
        <v>359</v>
      </c>
      <c r="BL39" t="s">
        <v>272</v>
      </c>
      <c r="BM39" t="s">
        <v>272</v>
      </c>
      <c r="BN39" s="40" t="s">
        <v>272</v>
      </c>
      <c r="BO39" t="s">
        <v>272</v>
      </c>
      <c r="BP39" t="s">
        <v>272</v>
      </c>
      <c r="BQ39" s="183"/>
      <c r="BR39" s="183"/>
      <c r="BS39" s="81" t="s">
        <v>359</v>
      </c>
      <c r="BT39" t="s">
        <v>272</v>
      </c>
      <c r="BU39" t="s">
        <v>272</v>
      </c>
      <c r="BV39" s="183"/>
      <c r="BW39" s="183"/>
      <c r="BX39" s="71" t="s">
        <v>750</v>
      </c>
      <c r="BY39">
        <v>136</v>
      </c>
      <c r="BZ39" t="s">
        <v>528</v>
      </c>
      <c r="CA39">
        <v>4</v>
      </c>
      <c r="CB39"/>
      <c r="CC39" s="5">
        <v>44545</v>
      </c>
      <c r="CD39"/>
      <c r="CE39">
        <v>1</v>
      </c>
      <c r="CF39" s="56">
        <v>0.10416666666666667</v>
      </c>
      <c r="CG39" s="56">
        <v>0.125</v>
      </c>
      <c r="CH39"/>
      <c r="CI39" s="56">
        <v>0.20833333333333334</v>
      </c>
      <c r="CJ39" t="s">
        <v>560</v>
      </c>
      <c r="CK39" s="118">
        <v>1</v>
      </c>
      <c r="CL39" t="s">
        <v>210</v>
      </c>
      <c r="CM39" s="56" t="s">
        <v>223</v>
      </c>
      <c r="CN39">
        <v>1</v>
      </c>
      <c r="CO39">
        <v>1</v>
      </c>
      <c r="CP39">
        <v>1</v>
      </c>
      <c r="CQ39">
        <v>1</v>
      </c>
      <c r="CR39"/>
      <c r="CS39" s="134" t="s">
        <v>748</v>
      </c>
      <c r="CT39" s="134" t="s">
        <v>748</v>
      </c>
      <c r="CX39" s="171" t="s">
        <v>108</v>
      </c>
      <c r="CY39" s="171" t="s">
        <v>108</v>
      </c>
      <c r="DB39" s="173" t="s">
        <v>424</v>
      </c>
      <c r="DC39" s="173"/>
      <c r="DD39" s="173" t="s">
        <v>424</v>
      </c>
      <c r="DE39" s="173"/>
      <c r="DF39" s="173" t="s">
        <v>424</v>
      </c>
      <c r="DG39" s="173"/>
      <c r="DH39" s="173" t="s">
        <v>424</v>
      </c>
      <c r="DI39" s="173"/>
      <c r="DJ39" s="173" t="s">
        <v>424</v>
      </c>
      <c r="DK39" s="173"/>
      <c r="DL39" s="173" t="s">
        <v>424</v>
      </c>
      <c r="DM39" s="173"/>
    </row>
    <row r="40" spans="1:117" s="15" customFormat="1" x14ac:dyDescent="0.3">
      <c r="A40" s="63">
        <v>37</v>
      </c>
      <c r="B40" s="16" t="s">
        <v>218</v>
      </c>
      <c r="C40" s="16">
        <v>5</v>
      </c>
      <c r="D40" s="16"/>
      <c r="E40" s="17">
        <v>44265</v>
      </c>
      <c r="F40" s="16" t="s">
        <v>23</v>
      </c>
      <c r="G40" s="16">
        <v>292</v>
      </c>
      <c r="H40" s="82">
        <v>2</v>
      </c>
      <c r="I40" s="15" t="s">
        <v>201</v>
      </c>
      <c r="J40" s="16">
        <v>1</v>
      </c>
      <c r="K40" s="16">
        <v>0</v>
      </c>
      <c r="L40" s="16">
        <v>2</v>
      </c>
      <c r="M40" s="16">
        <v>1</v>
      </c>
      <c r="N40" s="16">
        <v>1</v>
      </c>
      <c r="O40" s="16"/>
      <c r="P40" s="14"/>
      <c r="Q40" s="14" t="s">
        <v>125</v>
      </c>
      <c r="R40" s="14" t="s">
        <v>129</v>
      </c>
      <c r="S40" s="14" t="s">
        <v>129</v>
      </c>
      <c r="T40" s="20" t="s">
        <v>129</v>
      </c>
      <c r="U40" s="20" t="s">
        <v>126</v>
      </c>
      <c r="V40" s="20" t="s">
        <v>129</v>
      </c>
      <c r="W40" s="20" t="s">
        <v>126</v>
      </c>
      <c r="X40" s="14"/>
      <c r="Y40" s="20" t="s">
        <v>129</v>
      </c>
      <c r="Z40" s="27" t="s">
        <v>126</v>
      </c>
      <c r="AA40" s="179">
        <v>1</v>
      </c>
      <c r="AB40" s="184" t="s">
        <v>1031</v>
      </c>
      <c r="AC40" s="159" t="s">
        <v>181</v>
      </c>
      <c r="AD40" s="155" t="s">
        <v>181</v>
      </c>
      <c r="AE40" s="159" t="s">
        <v>308</v>
      </c>
      <c r="AF40" s="155" t="s">
        <v>758</v>
      </c>
      <c r="AG40" s="159" t="s">
        <v>472</v>
      </c>
      <c r="AH40" s="155" t="s">
        <v>760</v>
      </c>
      <c r="AI40" s="159" t="s">
        <v>313</v>
      </c>
      <c r="AJ40" s="155" t="s">
        <v>313</v>
      </c>
      <c r="AK40" s="160" t="s">
        <v>129</v>
      </c>
      <c r="AL40" s="160" t="s">
        <v>129</v>
      </c>
      <c r="AM40" s="143"/>
      <c r="AN40" s="143"/>
      <c r="AO40" s="151"/>
      <c r="AP40" s="47">
        <v>1</v>
      </c>
      <c r="AQ40" s="19">
        <v>6.25E-2</v>
      </c>
      <c r="AR40" s="19">
        <v>0.20833333333333334</v>
      </c>
      <c r="AS40" s="16" t="s">
        <v>82</v>
      </c>
      <c r="AT40" s="16">
        <v>1</v>
      </c>
      <c r="AU40" s="16" t="s">
        <v>105</v>
      </c>
      <c r="AV40" s="16" t="s">
        <v>106</v>
      </c>
      <c r="AW40" s="16">
        <v>2</v>
      </c>
      <c r="AX40" s="16">
        <v>0</v>
      </c>
      <c r="AY40" s="16">
        <v>2</v>
      </c>
      <c r="AZ40" s="16">
        <v>2</v>
      </c>
      <c r="BA40" s="16" t="s">
        <v>222</v>
      </c>
      <c r="BB40" s="110" t="s">
        <v>129</v>
      </c>
      <c r="BC40" s="110" t="s">
        <v>129</v>
      </c>
      <c r="BD40" s="32"/>
      <c r="BE40" s="32"/>
      <c r="BF40" s="168" t="s">
        <v>108</v>
      </c>
      <c r="BG40" s="168" t="s">
        <v>108</v>
      </c>
      <c r="BH40" s="65" t="s">
        <v>359</v>
      </c>
      <c r="BI40" s="67" t="s">
        <v>272</v>
      </c>
      <c r="BJ40" s="66" t="s">
        <v>273</v>
      </c>
      <c r="BK40" s="66" t="s">
        <v>358</v>
      </c>
      <c r="BL40" s="67" t="s">
        <v>357</v>
      </c>
      <c r="BM40" s="66" t="s">
        <v>357</v>
      </c>
      <c r="BN40" s="65" t="s">
        <v>359</v>
      </c>
      <c r="BO40" s="67" t="s">
        <v>272</v>
      </c>
      <c r="BP40" s="66" t="s">
        <v>273</v>
      </c>
      <c r="BQ40" s="128" t="s">
        <v>625</v>
      </c>
      <c r="BR40" s="128">
        <f>59/448</f>
        <v>0.13169642857142858</v>
      </c>
      <c r="BS40" s="121" t="s">
        <v>358</v>
      </c>
      <c r="BT40" s="67" t="s">
        <v>357</v>
      </c>
      <c r="BU40" s="66" t="s">
        <v>357</v>
      </c>
      <c r="BV40" s="128" t="s">
        <v>626</v>
      </c>
      <c r="BW40" s="128">
        <f>0/644</f>
        <v>0</v>
      </c>
      <c r="BX40" s="71" t="s">
        <v>750</v>
      </c>
      <c r="BY40">
        <v>137</v>
      </c>
      <c r="BZ40" t="s">
        <v>529</v>
      </c>
      <c r="CA40">
        <v>5</v>
      </c>
      <c r="CB40"/>
      <c r="CC40" s="5">
        <v>44547</v>
      </c>
      <c r="CD40" t="s">
        <v>530</v>
      </c>
      <c r="CE40">
        <v>1</v>
      </c>
      <c r="CF40" s="56">
        <v>0.10416666666666667</v>
      </c>
      <c r="CG40" s="56">
        <v>0.125</v>
      </c>
      <c r="CH40" t="s">
        <v>583</v>
      </c>
      <c r="CI40" s="56">
        <v>0.20833333333333334</v>
      </c>
      <c r="CJ40" t="s">
        <v>560</v>
      </c>
      <c r="CK40" s="118">
        <v>1</v>
      </c>
      <c r="CL40" t="s">
        <v>210</v>
      </c>
      <c r="CM40" s="56" t="s">
        <v>106</v>
      </c>
      <c r="CN40">
        <v>1</v>
      </c>
      <c r="CO40">
        <v>1</v>
      </c>
      <c r="CP40">
        <v>2</v>
      </c>
      <c r="CQ40" t="s">
        <v>585</v>
      </c>
      <c r="CR40"/>
      <c r="CS40" s="133" t="s">
        <v>129</v>
      </c>
      <c r="CT40" s="133" t="s">
        <v>129</v>
      </c>
      <c r="CU40" s="147"/>
      <c r="CX40" s="171" t="s">
        <v>768</v>
      </c>
      <c r="CY40" s="171" t="s">
        <v>768</v>
      </c>
      <c r="DB40" s="173"/>
      <c r="DC40" s="173"/>
      <c r="DD40" s="177" t="s">
        <v>424</v>
      </c>
      <c r="DE40" s="177"/>
      <c r="DF40" s="173"/>
      <c r="DG40" s="173"/>
      <c r="DH40" s="177" t="s">
        <v>424</v>
      </c>
      <c r="DI40" s="177"/>
      <c r="DJ40" s="173"/>
      <c r="DK40" s="173"/>
      <c r="DL40" s="177" t="s">
        <v>424</v>
      </c>
      <c r="DM40" s="177"/>
    </row>
    <row r="41" spans="1:117" s="15" customFormat="1" x14ac:dyDescent="0.3">
      <c r="A41" s="16">
        <v>38</v>
      </c>
      <c r="B41" s="16" t="s">
        <v>36</v>
      </c>
      <c r="C41" s="16">
        <v>6</v>
      </c>
      <c r="D41" s="16"/>
      <c r="E41" s="17">
        <v>44265</v>
      </c>
      <c r="F41" s="16" t="s">
        <v>18</v>
      </c>
      <c r="G41" s="16">
        <v>310</v>
      </c>
      <c r="H41" s="82">
        <v>1</v>
      </c>
      <c r="I41" s="15" t="s">
        <v>200</v>
      </c>
      <c r="J41" s="16">
        <v>1</v>
      </c>
      <c r="K41" s="16">
        <v>0</v>
      </c>
      <c r="L41" s="16">
        <v>2</v>
      </c>
      <c r="M41" s="16">
        <v>1</v>
      </c>
      <c r="N41" s="16">
        <v>1</v>
      </c>
      <c r="O41" s="16" t="s">
        <v>220</v>
      </c>
      <c r="P41" s="14"/>
      <c r="Q41" s="14" t="s">
        <v>125</v>
      </c>
      <c r="R41" s="14" t="s">
        <v>129</v>
      </c>
      <c r="S41" s="14" t="s">
        <v>129</v>
      </c>
      <c r="T41" s="20" t="s">
        <v>129</v>
      </c>
      <c r="U41" s="20" t="s">
        <v>225</v>
      </c>
      <c r="V41" s="20" t="s">
        <v>129</v>
      </c>
      <c r="W41" s="20" t="s">
        <v>129</v>
      </c>
      <c r="X41" s="28" t="s">
        <v>198</v>
      </c>
      <c r="Y41" s="23" t="s">
        <v>126</v>
      </c>
      <c r="Z41" s="27" t="s">
        <v>126</v>
      </c>
      <c r="AA41" s="180" t="s">
        <v>1011</v>
      </c>
      <c r="AB41" s="180"/>
      <c r="AC41" s="156"/>
      <c r="AD41" s="157"/>
      <c r="AE41" s="156"/>
      <c r="AF41" s="157"/>
      <c r="AG41" s="156"/>
      <c r="AH41" s="157"/>
      <c r="AI41" s="156" t="s">
        <v>313</v>
      </c>
      <c r="AJ41" s="157" t="s">
        <v>313</v>
      </c>
      <c r="AK41" s="158" t="s">
        <v>126</v>
      </c>
      <c r="AL41" s="158" t="s">
        <v>126</v>
      </c>
      <c r="AM41" s="140"/>
      <c r="AN41" s="140"/>
      <c r="AO41" s="140"/>
      <c r="AP41" s="47">
        <v>1</v>
      </c>
      <c r="AQ41" s="16"/>
      <c r="AR41" s="16"/>
      <c r="AS41" s="16" t="s">
        <v>209</v>
      </c>
      <c r="AT41" s="16">
        <v>1</v>
      </c>
      <c r="AU41" s="16" t="s">
        <v>116</v>
      </c>
      <c r="AV41" s="16" t="s">
        <v>223</v>
      </c>
      <c r="AW41" s="16">
        <v>0</v>
      </c>
      <c r="AX41" s="16">
        <v>0</v>
      </c>
      <c r="AY41" s="16">
        <v>1</v>
      </c>
      <c r="AZ41" s="16">
        <v>1</v>
      </c>
      <c r="BA41" s="16" t="s">
        <v>224</v>
      </c>
      <c r="BB41" s="32" t="s">
        <v>247</v>
      </c>
      <c r="BC41" s="32" t="s">
        <v>247</v>
      </c>
      <c r="BD41" s="32"/>
      <c r="BE41" s="32"/>
      <c r="BF41" s="165" t="s">
        <v>108</v>
      </c>
      <c r="BG41" s="165" t="s">
        <v>108</v>
      </c>
      <c r="BH41"/>
      <c r="BI41"/>
      <c r="BJ41"/>
      <c r="BK41"/>
      <c r="BL41"/>
      <c r="BM41"/>
      <c r="BN41"/>
      <c r="BO41"/>
      <c r="BP41"/>
      <c r="BQ41" s="202" t="s">
        <v>424</v>
      </c>
      <c r="BR41" s="203"/>
      <c r="BS41" s="81"/>
      <c r="BT41"/>
      <c r="BU41"/>
      <c r="BV41" s="202" t="s">
        <v>424</v>
      </c>
      <c r="BW41" s="203"/>
      <c r="BX41" s="136"/>
      <c r="BY41" s="136"/>
      <c r="BZ41" s="136"/>
      <c r="CA41" s="136"/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6"/>
      <c r="CO41" s="136"/>
      <c r="CP41" s="136"/>
      <c r="CQ41" s="136"/>
      <c r="CR41" s="136"/>
      <c r="CS41" s="136"/>
      <c r="CT41" s="136"/>
      <c r="CX41" s="171" t="s">
        <v>108</v>
      </c>
      <c r="CY41" s="171" t="s">
        <v>108</v>
      </c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</row>
    <row r="42" spans="1:117" x14ac:dyDescent="0.3">
      <c r="A42" s="34">
        <v>39</v>
      </c>
      <c r="B42" s="34" t="s">
        <v>228</v>
      </c>
      <c r="C42" s="34">
        <v>7</v>
      </c>
      <c r="D42" s="34" t="s">
        <v>229</v>
      </c>
      <c r="E42" s="35">
        <v>44267</v>
      </c>
      <c r="F42" s="34" t="s">
        <v>16</v>
      </c>
      <c r="G42" s="34">
        <v>305</v>
      </c>
      <c r="H42" s="83">
        <v>2</v>
      </c>
      <c r="I42" s="15" t="s">
        <v>201</v>
      </c>
      <c r="J42" s="37">
        <v>0</v>
      </c>
      <c r="K42" s="34"/>
      <c r="L42" s="34"/>
      <c r="M42" s="34"/>
      <c r="N42" s="34"/>
      <c r="O42" s="34" t="s">
        <v>235</v>
      </c>
      <c r="Y42" s="23" t="s">
        <v>126</v>
      </c>
      <c r="AA42" s="26" t="s">
        <v>1010</v>
      </c>
      <c r="AC42" s="156"/>
      <c r="AD42" s="157"/>
      <c r="AE42" s="156"/>
      <c r="AF42" s="157"/>
      <c r="AG42" s="156"/>
      <c r="AH42" s="157"/>
      <c r="AI42" s="156" t="s">
        <v>313</v>
      </c>
      <c r="AJ42" s="157" t="s">
        <v>313</v>
      </c>
      <c r="AK42" s="158" t="s">
        <v>126</v>
      </c>
      <c r="AL42" s="158" t="s">
        <v>126</v>
      </c>
      <c r="AP42" s="49">
        <v>1</v>
      </c>
      <c r="AQ42" s="34" t="s">
        <v>238</v>
      </c>
      <c r="AR42" s="36">
        <v>0.20833333333333334</v>
      </c>
      <c r="AS42" s="34" t="s">
        <v>82</v>
      </c>
      <c r="AT42" s="34">
        <v>1</v>
      </c>
      <c r="AU42" s="34" t="s">
        <v>210</v>
      </c>
      <c r="AV42" s="34" t="s">
        <v>106</v>
      </c>
      <c r="AW42" s="34">
        <v>2</v>
      </c>
      <c r="AX42" s="34">
        <v>0</v>
      </c>
      <c r="AY42" s="34">
        <v>2</v>
      </c>
      <c r="AZ42" s="34">
        <v>2</v>
      </c>
      <c r="BA42" s="34" t="s">
        <v>239</v>
      </c>
      <c r="BB42" s="32" t="s">
        <v>247</v>
      </c>
      <c r="BC42" s="30" t="s">
        <v>247</v>
      </c>
      <c r="BF42" s="165" t="s">
        <v>108</v>
      </c>
      <c r="BG42" s="165" t="s">
        <v>108</v>
      </c>
      <c r="BH42"/>
      <c r="BN42"/>
      <c r="BQ42" s="183"/>
      <c r="BR42" s="183"/>
      <c r="BV42" s="183"/>
      <c r="BW42" s="183"/>
      <c r="BX42" s="135"/>
      <c r="BY42" s="135"/>
      <c r="BZ42" s="135"/>
      <c r="CA42" s="135"/>
      <c r="CB42" s="135"/>
      <c r="CC42" s="135"/>
      <c r="CD42" s="135"/>
      <c r="CE42" s="135"/>
      <c r="CF42" s="135"/>
      <c r="CG42" s="135"/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/>
      <c r="CX42" s="171" t="s">
        <v>108</v>
      </c>
      <c r="CY42" s="171" t="s">
        <v>108</v>
      </c>
      <c r="DB42" s="135"/>
      <c r="DC42" s="135"/>
      <c r="DD42" s="135"/>
      <c r="DE42" s="135"/>
      <c r="DF42" s="135"/>
      <c r="DG42" s="135"/>
      <c r="DH42" s="135"/>
      <c r="DI42" s="135"/>
      <c r="DJ42" s="135"/>
      <c r="DK42" s="135"/>
      <c r="DL42" s="135"/>
      <c r="DM42" s="135"/>
    </row>
    <row r="43" spans="1:117" x14ac:dyDescent="0.3">
      <c r="A43" s="100">
        <v>40</v>
      </c>
      <c r="B43" s="34" t="s">
        <v>230</v>
      </c>
      <c r="C43" s="34">
        <v>8</v>
      </c>
      <c r="D43" s="34"/>
      <c r="E43" s="35">
        <v>44272</v>
      </c>
      <c r="F43" s="34" t="s">
        <v>16</v>
      </c>
      <c r="G43" s="34">
        <v>305</v>
      </c>
      <c r="H43" s="82">
        <v>2</v>
      </c>
      <c r="I43" s="15" t="s">
        <v>201</v>
      </c>
      <c r="J43" s="34">
        <v>1</v>
      </c>
      <c r="K43" s="34">
        <v>0</v>
      </c>
      <c r="L43" s="34">
        <v>2</v>
      </c>
      <c r="M43" s="34">
        <v>1</v>
      </c>
      <c r="N43" s="34">
        <v>1</v>
      </c>
      <c r="O43" s="34" t="s">
        <v>236</v>
      </c>
      <c r="P43" s="8" t="s">
        <v>244</v>
      </c>
      <c r="Q43" s="8" t="s">
        <v>125</v>
      </c>
      <c r="R43" s="8" t="s">
        <v>129</v>
      </c>
      <c r="S43" s="8" t="s">
        <v>129</v>
      </c>
      <c r="T43" s="11" t="s">
        <v>129</v>
      </c>
      <c r="U43" s="11" t="s">
        <v>126</v>
      </c>
      <c r="V43" s="11" t="s">
        <v>129</v>
      </c>
      <c r="W43" s="11" t="s">
        <v>126</v>
      </c>
      <c r="Y43" s="11" t="s">
        <v>129</v>
      </c>
      <c r="Z43" s="26" t="s">
        <v>126</v>
      </c>
      <c r="AA43" s="26" t="s">
        <v>1013</v>
      </c>
      <c r="AC43" s="156" t="s">
        <v>181</v>
      </c>
      <c r="AD43" s="157" t="s">
        <v>181</v>
      </c>
      <c r="AE43" s="156" t="s">
        <v>309</v>
      </c>
      <c r="AF43" s="157"/>
      <c r="AG43" s="156"/>
      <c r="AH43" s="157"/>
      <c r="AI43" s="156" t="s">
        <v>313</v>
      </c>
      <c r="AJ43" s="157" t="s">
        <v>313</v>
      </c>
      <c r="AK43" s="158" t="s">
        <v>126</v>
      </c>
      <c r="AL43" s="158" t="s">
        <v>129</v>
      </c>
      <c r="AP43" s="49">
        <v>1</v>
      </c>
      <c r="AQ43" s="36">
        <v>0.10416666666666667</v>
      </c>
      <c r="AR43" s="36">
        <v>0.20833333333333334</v>
      </c>
      <c r="AS43" s="34" t="s">
        <v>209</v>
      </c>
      <c r="AT43" s="34">
        <v>1</v>
      </c>
      <c r="AU43" s="34" t="s">
        <v>116</v>
      </c>
      <c r="AV43" s="34" t="s">
        <v>155</v>
      </c>
      <c r="AW43" s="34">
        <v>1</v>
      </c>
      <c r="AX43" s="34">
        <v>2</v>
      </c>
      <c r="AY43" s="34">
        <v>2</v>
      </c>
      <c r="AZ43" s="34">
        <v>2</v>
      </c>
      <c r="BA43" s="97" t="s">
        <v>240</v>
      </c>
      <c r="BB43" s="30" t="s">
        <v>248</v>
      </c>
      <c r="BC43" s="30" t="s">
        <v>248</v>
      </c>
      <c r="BF43" s="165" t="s">
        <v>108</v>
      </c>
      <c r="BG43" s="165" t="s">
        <v>108</v>
      </c>
      <c r="BH43" s="79" t="s">
        <v>424</v>
      </c>
      <c r="BI43" s="79" t="s">
        <v>424</v>
      </c>
      <c r="BJ43" s="79" t="s">
        <v>424</v>
      </c>
      <c r="BK43" s="79" t="s">
        <v>424</v>
      </c>
      <c r="BL43" s="79" t="s">
        <v>424</v>
      </c>
      <c r="BM43" s="79" t="s">
        <v>424</v>
      </c>
      <c r="BN43" s="65" t="s">
        <v>358</v>
      </c>
      <c r="BO43" s="67" t="s">
        <v>357</v>
      </c>
      <c r="BP43" s="66" t="s">
        <v>357</v>
      </c>
      <c r="BQ43" s="126" t="s">
        <v>621</v>
      </c>
      <c r="BR43" s="126">
        <f>0/451</f>
        <v>0</v>
      </c>
      <c r="BS43" s="121" t="s">
        <v>358</v>
      </c>
      <c r="BT43" s="67" t="s">
        <v>357</v>
      </c>
      <c r="BU43" s="66" t="s">
        <v>357</v>
      </c>
      <c r="BV43" s="126" t="s">
        <v>627</v>
      </c>
      <c r="BW43" s="126">
        <f>0/639</f>
        <v>0</v>
      </c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X43" s="171" t="s">
        <v>108</v>
      </c>
      <c r="CY43" s="171" t="s">
        <v>108</v>
      </c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5"/>
    </row>
    <row r="44" spans="1:117" x14ac:dyDescent="0.3">
      <c r="A44" s="64">
        <v>41</v>
      </c>
      <c r="B44" s="34" t="s">
        <v>231</v>
      </c>
      <c r="C44" s="34">
        <v>1</v>
      </c>
      <c r="D44" s="34"/>
      <c r="E44" s="35">
        <v>44279</v>
      </c>
      <c r="F44" s="34" t="s">
        <v>457</v>
      </c>
      <c r="G44" s="34">
        <v>285</v>
      </c>
      <c r="H44" s="82">
        <v>1</v>
      </c>
      <c r="I44" s="16" t="s">
        <v>200</v>
      </c>
      <c r="J44" s="34">
        <v>1</v>
      </c>
      <c r="K44" s="34">
        <v>0</v>
      </c>
      <c r="L44" s="34">
        <v>1</v>
      </c>
      <c r="M44" s="34">
        <v>1</v>
      </c>
      <c r="N44" s="34">
        <v>1</v>
      </c>
      <c r="O44" s="34"/>
      <c r="P44" s="8" t="s">
        <v>204</v>
      </c>
      <c r="Q44" s="8" t="s">
        <v>125</v>
      </c>
      <c r="R44" s="8" t="s">
        <v>129</v>
      </c>
      <c r="S44" s="8" t="s">
        <v>129</v>
      </c>
      <c r="T44" s="11" t="s">
        <v>129</v>
      </c>
      <c r="U44" s="11" t="s">
        <v>126</v>
      </c>
      <c r="V44" s="11" t="s">
        <v>129</v>
      </c>
      <c r="W44" s="11" t="s">
        <v>126</v>
      </c>
      <c r="Y44" s="11" t="s">
        <v>129</v>
      </c>
      <c r="Z44" s="26" t="s">
        <v>126</v>
      </c>
      <c r="AA44" s="178">
        <v>1</v>
      </c>
      <c r="AB44" s="178" t="s">
        <v>1032</v>
      </c>
      <c r="AC44" s="159" t="s">
        <v>181</v>
      </c>
      <c r="AD44" s="155" t="s">
        <v>181</v>
      </c>
      <c r="AE44" s="159" t="s">
        <v>309</v>
      </c>
      <c r="AF44" s="155" t="s">
        <v>758</v>
      </c>
      <c r="AG44" s="159" t="s">
        <v>472</v>
      </c>
      <c r="AH44" s="155" t="s">
        <v>760</v>
      </c>
      <c r="AI44" s="159" t="s">
        <v>313</v>
      </c>
      <c r="AJ44" s="155" t="s">
        <v>313</v>
      </c>
      <c r="AK44" s="160" t="s">
        <v>126</v>
      </c>
      <c r="AL44" s="160" t="s">
        <v>129</v>
      </c>
      <c r="AM44" s="142"/>
      <c r="AN44" s="142"/>
      <c r="AO44" s="150"/>
      <c r="AP44" s="49">
        <v>1</v>
      </c>
      <c r="AQ44" s="36">
        <v>0.10416666666666667</v>
      </c>
      <c r="AR44" s="36">
        <v>0.20833333333333334</v>
      </c>
      <c r="AS44" s="36" t="s">
        <v>241</v>
      </c>
      <c r="AT44" s="34">
        <v>1</v>
      </c>
      <c r="AU44" s="34" t="s">
        <v>111</v>
      </c>
      <c r="AV44" s="34" t="s">
        <v>211</v>
      </c>
      <c r="AW44" s="34">
        <v>1</v>
      </c>
      <c r="AX44" s="34">
        <v>1</v>
      </c>
      <c r="AY44" s="34">
        <v>2</v>
      </c>
      <c r="AZ44" s="34">
        <v>2</v>
      </c>
      <c r="BA44" s="34"/>
      <c r="BB44" s="112" t="s">
        <v>129</v>
      </c>
      <c r="BC44" s="110" t="s">
        <v>129</v>
      </c>
      <c r="BD44" s="32"/>
      <c r="BE44" s="32"/>
      <c r="BF44" s="168" t="s">
        <v>108</v>
      </c>
      <c r="BG44" s="168" t="s">
        <v>108</v>
      </c>
      <c r="BH44" s="79" t="s">
        <v>424</v>
      </c>
      <c r="BI44" s="79" t="s">
        <v>424</v>
      </c>
      <c r="BJ44" s="79" t="s">
        <v>424</v>
      </c>
      <c r="BK44" s="79" t="s">
        <v>424</v>
      </c>
      <c r="BL44" s="79" t="s">
        <v>424</v>
      </c>
      <c r="BM44" s="79" t="s">
        <v>424</v>
      </c>
      <c r="BN44" s="65" t="s">
        <v>358</v>
      </c>
      <c r="BO44" s="73" t="s">
        <v>357</v>
      </c>
      <c r="BP44" s="66" t="s">
        <v>357</v>
      </c>
      <c r="BQ44" s="128" t="s">
        <v>602</v>
      </c>
      <c r="BR44" s="128">
        <f>0/426</f>
        <v>0</v>
      </c>
      <c r="BS44" s="121" t="s">
        <v>358</v>
      </c>
      <c r="BT44" s="67" t="s">
        <v>357</v>
      </c>
      <c r="BU44" s="66" t="s">
        <v>357</v>
      </c>
      <c r="BV44" s="128" t="s">
        <v>630</v>
      </c>
      <c r="BW44" s="128">
        <f>0/609</f>
        <v>0</v>
      </c>
      <c r="BX44" s="137"/>
      <c r="BY44">
        <v>141</v>
      </c>
      <c r="BZ44" t="s">
        <v>531</v>
      </c>
      <c r="CA44">
        <v>1</v>
      </c>
      <c r="CC44" s="5">
        <v>44682</v>
      </c>
      <c r="CD44" t="s">
        <v>532</v>
      </c>
      <c r="CE44">
        <v>1</v>
      </c>
      <c r="CF44" s="56">
        <v>0.10416666666666667</v>
      </c>
      <c r="CG44" s="56">
        <v>0.125</v>
      </c>
      <c r="CH44" t="s">
        <v>586</v>
      </c>
      <c r="CI44" s="56">
        <v>0.20833333333333334</v>
      </c>
      <c r="CJ44" t="s">
        <v>560</v>
      </c>
      <c r="CK44" s="118">
        <v>1</v>
      </c>
      <c r="CL44" t="s">
        <v>210</v>
      </c>
      <c r="CM44" s="56" t="s">
        <v>119</v>
      </c>
      <c r="CN44" t="s">
        <v>587</v>
      </c>
      <c r="CO44" s="56" t="s">
        <v>587</v>
      </c>
      <c r="CP44">
        <v>1</v>
      </c>
      <c r="CQ44" s="56" t="s">
        <v>585</v>
      </c>
      <c r="CR44" t="s">
        <v>588</v>
      </c>
      <c r="CS44" t="s">
        <v>126</v>
      </c>
      <c r="CT44" t="s">
        <v>126</v>
      </c>
      <c r="CX44" s="171" t="s">
        <v>108</v>
      </c>
      <c r="CY44" s="171" t="s">
        <v>108</v>
      </c>
      <c r="DB44" s="173"/>
      <c r="DC44" s="173"/>
      <c r="DD44" s="177" t="s">
        <v>424</v>
      </c>
      <c r="DE44" s="177"/>
      <c r="DF44" s="173"/>
      <c r="DG44" s="173"/>
      <c r="DH44" s="177" t="s">
        <v>424</v>
      </c>
      <c r="DI44" s="177"/>
      <c r="DJ44" s="173"/>
      <c r="DK44" s="173"/>
      <c r="DL44" s="177" t="s">
        <v>424</v>
      </c>
      <c r="DM44" s="177"/>
    </row>
    <row r="45" spans="1:117" x14ac:dyDescent="0.3">
      <c r="A45" s="64">
        <v>42</v>
      </c>
      <c r="B45" s="34" t="s">
        <v>232</v>
      </c>
      <c r="C45" s="34">
        <v>2</v>
      </c>
      <c r="D45" s="34"/>
      <c r="E45" s="35">
        <v>44280</v>
      </c>
      <c r="F45" s="94" t="s">
        <v>464</v>
      </c>
      <c r="G45" s="34">
        <v>315</v>
      </c>
      <c r="H45" s="82">
        <v>1</v>
      </c>
      <c r="I45" s="16" t="s">
        <v>200</v>
      </c>
      <c r="J45" s="34">
        <v>1</v>
      </c>
      <c r="K45" s="34">
        <v>0</v>
      </c>
      <c r="L45" s="34">
        <v>1</v>
      </c>
      <c r="M45" s="34">
        <v>1</v>
      </c>
      <c r="N45" s="34">
        <v>0</v>
      </c>
      <c r="O45" s="34"/>
      <c r="P45" s="8" t="s">
        <v>245</v>
      </c>
      <c r="Q45" s="8" t="s">
        <v>125</v>
      </c>
      <c r="R45" s="8" t="s">
        <v>129</v>
      </c>
      <c r="S45" s="8" t="s">
        <v>129</v>
      </c>
      <c r="T45" s="11" t="s">
        <v>129</v>
      </c>
      <c r="U45" s="11" t="s">
        <v>246</v>
      </c>
      <c r="V45" s="11" t="s">
        <v>129</v>
      </c>
      <c r="W45" s="11" t="s">
        <v>126</v>
      </c>
      <c r="Y45" s="11" t="s">
        <v>129</v>
      </c>
      <c r="Z45" s="26" t="s">
        <v>247</v>
      </c>
      <c r="AA45" s="178">
        <v>1</v>
      </c>
      <c r="AB45" s="178" t="s">
        <v>1024</v>
      </c>
      <c r="AC45" s="159" t="s">
        <v>181</v>
      </c>
      <c r="AD45" s="155" t="s">
        <v>181</v>
      </c>
      <c r="AE45" s="159" t="s">
        <v>308</v>
      </c>
      <c r="AF45" s="155" t="s">
        <v>769</v>
      </c>
      <c r="AG45" s="159"/>
      <c r="AH45" s="155" t="s">
        <v>761</v>
      </c>
      <c r="AI45" s="159" t="s">
        <v>313</v>
      </c>
      <c r="AJ45" s="155" t="s">
        <v>313</v>
      </c>
      <c r="AK45" s="160" t="s">
        <v>129</v>
      </c>
      <c r="AL45" s="160" t="s">
        <v>129</v>
      </c>
      <c r="AM45" s="142"/>
      <c r="AN45" s="142"/>
      <c r="AO45" s="150"/>
      <c r="AP45" s="49">
        <v>1</v>
      </c>
      <c r="AQ45" s="36">
        <v>0.10416666666666667</v>
      </c>
      <c r="AR45" s="36">
        <v>0.20833333333333334</v>
      </c>
      <c r="AS45" s="34" t="s">
        <v>82</v>
      </c>
      <c r="AT45" s="34">
        <v>1</v>
      </c>
      <c r="AU45" s="34" t="s">
        <v>210</v>
      </c>
      <c r="AV45" s="34" t="s">
        <v>242</v>
      </c>
      <c r="AW45" s="34">
        <v>1</v>
      </c>
      <c r="AX45" s="34">
        <v>1</v>
      </c>
      <c r="AY45" s="34">
        <v>2</v>
      </c>
      <c r="AZ45" s="34">
        <v>2</v>
      </c>
      <c r="BA45" s="34"/>
      <c r="BB45" s="110" t="s">
        <v>129</v>
      </c>
      <c r="BC45" s="110" t="s">
        <v>129</v>
      </c>
      <c r="BD45" s="32"/>
      <c r="BE45" s="32"/>
      <c r="BF45" s="167" t="s">
        <v>776</v>
      </c>
      <c r="BG45" s="167" t="s">
        <v>776</v>
      </c>
      <c r="BH45" s="65" t="s">
        <v>272</v>
      </c>
      <c r="BI45" s="67" t="s">
        <v>357</v>
      </c>
      <c r="BJ45" s="66" t="s">
        <v>357</v>
      </c>
      <c r="BK45" s="67" t="s">
        <v>425</v>
      </c>
      <c r="BL45" s="66" t="s">
        <v>272</v>
      </c>
      <c r="BM45" s="66" t="s">
        <v>272</v>
      </c>
      <c r="BN45" s="65" t="s">
        <v>272</v>
      </c>
      <c r="BO45" s="67" t="s">
        <v>357</v>
      </c>
      <c r="BP45" s="66" t="s">
        <v>357</v>
      </c>
      <c r="BQ45" s="128" t="s">
        <v>631</v>
      </c>
      <c r="BR45" s="128">
        <f>0/337</f>
        <v>0</v>
      </c>
      <c r="BS45" s="121" t="s">
        <v>272</v>
      </c>
      <c r="BT45" s="66" t="s">
        <v>272</v>
      </c>
      <c r="BU45" s="67" t="s">
        <v>357</v>
      </c>
      <c r="BV45" s="128" t="s">
        <v>632</v>
      </c>
      <c r="BW45" s="128">
        <f>70/633</f>
        <v>0.11058451816745656</v>
      </c>
      <c r="BX45" s="137"/>
      <c r="BY45">
        <v>142</v>
      </c>
      <c r="BZ45" t="s">
        <v>518</v>
      </c>
      <c r="CA45">
        <v>4</v>
      </c>
      <c r="CB45" t="s">
        <v>519</v>
      </c>
      <c r="CC45" t="s">
        <v>520</v>
      </c>
      <c r="CD45" t="s">
        <v>521</v>
      </c>
      <c r="CE45">
        <v>1</v>
      </c>
      <c r="CF45" s="56">
        <v>0.10416666666666667</v>
      </c>
      <c r="CG45" s="56">
        <v>0.1111111111111111</v>
      </c>
      <c r="CH45" t="s">
        <v>572</v>
      </c>
      <c r="CI45" s="56">
        <v>6.5972222222222224E-2</v>
      </c>
      <c r="CJ45" t="s">
        <v>560</v>
      </c>
      <c r="CK45" s="118">
        <v>1</v>
      </c>
      <c r="CL45" t="s">
        <v>111</v>
      </c>
      <c r="CM45" t="s">
        <v>569</v>
      </c>
      <c r="CN45">
        <v>1</v>
      </c>
      <c r="CO45">
        <v>0</v>
      </c>
      <c r="CP45">
        <v>2</v>
      </c>
      <c r="CQ45">
        <v>1</v>
      </c>
      <c r="CR45" t="s">
        <v>581</v>
      </c>
      <c r="CS45" s="133" t="s">
        <v>129</v>
      </c>
      <c r="CT45" s="133" t="s">
        <v>129</v>
      </c>
      <c r="CU45" s="147"/>
      <c r="CX45" s="171" t="s">
        <v>108</v>
      </c>
      <c r="CY45" s="171" t="s">
        <v>108</v>
      </c>
      <c r="DB45" t="s">
        <v>936</v>
      </c>
      <c r="DC45" s="175">
        <v>0</v>
      </c>
      <c r="DD45" t="s">
        <v>937</v>
      </c>
      <c r="DE45" s="175">
        <v>0</v>
      </c>
      <c r="DF45" t="s">
        <v>932</v>
      </c>
      <c r="DG45" s="175">
        <v>0</v>
      </c>
      <c r="DH45" t="s">
        <v>933</v>
      </c>
      <c r="DI45" s="175">
        <v>0</v>
      </c>
      <c r="DJ45" t="s">
        <v>934</v>
      </c>
      <c r="DK45" s="175">
        <v>0</v>
      </c>
      <c r="DL45" t="s">
        <v>935</v>
      </c>
      <c r="DM45" s="175">
        <v>0</v>
      </c>
    </row>
    <row r="46" spans="1:117" x14ac:dyDescent="0.3">
      <c r="A46" s="64">
        <v>43</v>
      </c>
      <c r="B46" s="34" t="s">
        <v>233</v>
      </c>
      <c r="C46" s="34">
        <v>3</v>
      </c>
      <c r="D46" s="34"/>
      <c r="E46" s="35">
        <v>44281</v>
      </c>
      <c r="F46" s="35" t="s">
        <v>234</v>
      </c>
      <c r="G46" s="34">
        <v>296</v>
      </c>
      <c r="H46" s="82">
        <v>1</v>
      </c>
      <c r="I46" s="16" t="s">
        <v>200</v>
      </c>
      <c r="J46" s="34">
        <v>1</v>
      </c>
      <c r="K46" s="34" t="s">
        <v>237</v>
      </c>
      <c r="L46" s="34">
        <v>2</v>
      </c>
      <c r="M46" s="34">
        <v>1</v>
      </c>
      <c r="N46" s="34">
        <v>1</v>
      </c>
      <c r="O46" s="34"/>
      <c r="Q46" s="8" t="s">
        <v>125</v>
      </c>
      <c r="R46" s="8" t="s">
        <v>129</v>
      </c>
      <c r="S46" s="8" t="s">
        <v>129</v>
      </c>
      <c r="T46" s="11" t="s">
        <v>129</v>
      </c>
      <c r="U46" s="11" t="s">
        <v>126</v>
      </c>
      <c r="V46" s="11" t="s">
        <v>129</v>
      </c>
      <c r="W46" s="11" t="s">
        <v>126</v>
      </c>
      <c r="Y46" s="11" t="s">
        <v>129</v>
      </c>
      <c r="Z46" s="26" t="s">
        <v>126</v>
      </c>
      <c r="AA46" s="26" t="s">
        <v>1014</v>
      </c>
      <c r="AC46" s="159" t="s">
        <v>181</v>
      </c>
      <c r="AD46" s="155" t="s">
        <v>181</v>
      </c>
      <c r="AE46" s="159" t="s">
        <v>308</v>
      </c>
      <c r="AF46" s="155" t="s">
        <v>769</v>
      </c>
      <c r="AG46" s="159"/>
      <c r="AH46" s="155" t="s">
        <v>761</v>
      </c>
      <c r="AI46" s="159" t="s">
        <v>313</v>
      </c>
      <c r="AJ46" s="155" t="s">
        <v>313</v>
      </c>
      <c r="AK46" s="160" t="s">
        <v>126</v>
      </c>
      <c r="AL46" s="162" t="s">
        <v>129</v>
      </c>
      <c r="AP46" s="49">
        <v>1</v>
      </c>
      <c r="AQ46" s="36">
        <v>0.10416666666666667</v>
      </c>
      <c r="AR46" s="36">
        <v>0.20833333333333334</v>
      </c>
      <c r="AS46" s="34" t="s">
        <v>82</v>
      </c>
      <c r="AT46" s="34">
        <v>1</v>
      </c>
      <c r="AU46" s="34" t="s">
        <v>116</v>
      </c>
      <c r="AV46" s="34" t="s">
        <v>211</v>
      </c>
      <c r="AW46" s="34">
        <v>0</v>
      </c>
      <c r="AX46" s="34">
        <v>1</v>
      </c>
      <c r="AY46" s="34">
        <v>2</v>
      </c>
      <c r="AZ46" s="34">
        <v>2</v>
      </c>
      <c r="BA46" s="34" t="s">
        <v>243</v>
      </c>
      <c r="BB46" s="30" t="s">
        <v>248</v>
      </c>
      <c r="BC46" s="30" t="s">
        <v>126</v>
      </c>
      <c r="BF46" s="169" t="s">
        <v>108</v>
      </c>
      <c r="BG46" s="169" t="s">
        <v>108</v>
      </c>
      <c r="BH46" s="65" t="s">
        <v>359</v>
      </c>
      <c r="BI46" s="67" t="s">
        <v>357</v>
      </c>
      <c r="BJ46" s="66" t="s">
        <v>357</v>
      </c>
      <c r="BK46" s="74" t="s">
        <v>273</v>
      </c>
      <c r="BL46" s="74" t="s">
        <v>273</v>
      </c>
      <c r="BM46" s="74" t="s">
        <v>273</v>
      </c>
      <c r="BN46" s="65" t="s">
        <v>359</v>
      </c>
      <c r="BO46" s="67" t="s">
        <v>357</v>
      </c>
      <c r="BP46" s="66" t="s">
        <v>357</v>
      </c>
      <c r="BQ46" s="126" t="s">
        <v>633</v>
      </c>
      <c r="BR46" s="126">
        <f>1/452</f>
        <v>2.2123893805309734E-3</v>
      </c>
      <c r="BS46" s="121" t="s">
        <v>273</v>
      </c>
      <c r="BT46" s="66" t="s">
        <v>273</v>
      </c>
      <c r="BU46" s="75" t="s">
        <v>426</v>
      </c>
      <c r="BV46" s="127" t="s">
        <v>634</v>
      </c>
      <c r="BW46" s="127">
        <f>545/671</f>
        <v>0.81222056631892703</v>
      </c>
      <c r="BX46" s="135"/>
      <c r="BY46" s="135"/>
      <c r="BZ46" s="135"/>
      <c r="CA46" s="135"/>
      <c r="CB46" s="135"/>
      <c r="CC46" s="135"/>
      <c r="CD46" s="135"/>
      <c r="CE46" s="135"/>
      <c r="CF46" s="135"/>
      <c r="CG46" s="135"/>
      <c r="CH46" s="135"/>
      <c r="CI46" s="135"/>
      <c r="CJ46" s="135"/>
      <c r="CK46" s="135"/>
      <c r="CL46" s="135"/>
      <c r="CM46" s="135"/>
      <c r="CN46" s="135"/>
      <c r="CO46" s="135"/>
      <c r="CP46" s="135"/>
      <c r="CQ46" s="135"/>
      <c r="CR46" s="135"/>
      <c r="CS46" s="135"/>
      <c r="CT46" s="135"/>
      <c r="CX46" s="171" t="s">
        <v>108</v>
      </c>
      <c r="CY46" s="171" t="s">
        <v>108</v>
      </c>
      <c r="DB46" s="135"/>
      <c r="DC46" s="135"/>
      <c r="DD46" s="135"/>
      <c r="DE46" s="135"/>
      <c r="DF46" s="135"/>
      <c r="DG46" s="135"/>
      <c r="DH46" s="135"/>
      <c r="DI46" s="135"/>
      <c r="DJ46" s="135"/>
      <c r="DK46" s="135"/>
      <c r="DL46" s="135"/>
      <c r="DM46" s="135"/>
    </row>
    <row r="47" spans="1:117" x14ac:dyDescent="0.3">
      <c r="A47" s="64">
        <v>44</v>
      </c>
      <c r="B47" s="34" t="s">
        <v>249</v>
      </c>
      <c r="C47" s="34">
        <v>4</v>
      </c>
      <c r="D47" s="34"/>
      <c r="E47" s="35">
        <v>44321</v>
      </c>
      <c r="F47" s="34" t="s">
        <v>206</v>
      </c>
      <c r="G47" s="34">
        <v>314</v>
      </c>
      <c r="H47" s="82">
        <v>2</v>
      </c>
      <c r="I47" s="15" t="s">
        <v>201</v>
      </c>
      <c r="J47" s="34">
        <v>1</v>
      </c>
      <c r="K47" s="34">
        <v>0</v>
      </c>
      <c r="L47" s="34">
        <v>2</v>
      </c>
      <c r="M47" s="34">
        <v>1</v>
      </c>
      <c r="N47" s="34">
        <v>1</v>
      </c>
      <c r="O47" s="34" t="s">
        <v>254</v>
      </c>
      <c r="Q47" s="8" t="s">
        <v>125</v>
      </c>
      <c r="R47" s="8" t="s">
        <v>129</v>
      </c>
      <c r="S47" s="8" t="s">
        <v>129</v>
      </c>
      <c r="T47" s="11" t="s">
        <v>129</v>
      </c>
      <c r="U47" s="11" t="s">
        <v>126</v>
      </c>
      <c r="V47" s="11" t="s">
        <v>129</v>
      </c>
      <c r="W47" s="11" t="s">
        <v>126</v>
      </c>
      <c r="Y47" s="11" t="s">
        <v>129</v>
      </c>
      <c r="Z47" s="26" t="s">
        <v>126</v>
      </c>
      <c r="AA47" s="26" t="s">
        <v>1015</v>
      </c>
      <c r="AC47" s="161" t="s">
        <v>307</v>
      </c>
      <c r="AD47" s="161" t="s">
        <v>307</v>
      </c>
      <c r="AE47" s="159"/>
      <c r="AF47" s="155" t="s">
        <v>758</v>
      </c>
      <c r="AG47" s="159"/>
      <c r="AH47" s="155" t="s">
        <v>761</v>
      </c>
      <c r="AI47" s="159" t="s">
        <v>313</v>
      </c>
      <c r="AJ47" s="155" t="s">
        <v>313</v>
      </c>
      <c r="AK47" s="160" t="s">
        <v>129</v>
      </c>
      <c r="AL47" s="162" t="s">
        <v>129</v>
      </c>
      <c r="AP47" s="49">
        <v>1</v>
      </c>
      <c r="AQ47" s="36">
        <v>0.10416666666666667</v>
      </c>
      <c r="AR47" s="36">
        <v>0.20833333333333334</v>
      </c>
      <c r="AS47" s="34" t="s">
        <v>82</v>
      </c>
      <c r="AT47" s="34">
        <v>1</v>
      </c>
      <c r="AU47" s="34" t="s">
        <v>111</v>
      </c>
      <c r="AV47" s="34" t="s">
        <v>106</v>
      </c>
      <c r="AW47" s="34">
        <v>2</v>
      </c>
      <c r="AX47" s="34">
        <v>0</v>
      </c>
      <c r="AY47" s="34">
        <v>2</v>
      </c>
      <c r="AZ47" s="34">
        <v>2</v>
      </c>
      <c r="BA47" s="34" t="s">
        <v>257</v>
      </c>
      <c r="BB47" s="109" t="s">
        <v>129</v>
      </c>
      <c r="BC47" s="109" t="s">
        <v>129</v>
      </c>
      <c r="BF47" s="169" t="s">
        <v>108</v>
      </c>
      <c r="BG47" s="169" t="s">
        <v>108</v>
      </c>
      <c r="BH47" s="65" t="s">
        <v>273</v>
      </c>
      <c r="BI47" s="66" t="s">
        <v>273</v>
      </c>
      <c r="BJ47" s="75" t="s">
        <v>426</v>
      </c>
      <c r="BK47" s="66"/>
      <c r="BL47" s="66"/>
      <c r="BM47" s="67" t="s">
        <v>357</v>
      </c>
      <c r="BN47" s="65"/>
      <c r="BO47" s="75" t="s">
        <v>426</v>
      </c>
      <c r="BP47" s="66"/>
      <c r="BQ47" s="127" t="s">
        <v>635</v>
      </c>
      <c r="BR47" s="127">
        <f>714/811</f>
        <v>0.88039457459926018</v>
      </c>
      <c r="BS47" s="121"/>
      <c r="BT47" s="66"/>
      <c r="BU47" s="67" t="s">
        <v>357</v>
      </c>
      <c r="BV47" s="126" t="s">
        <v>636</v>
      </c>
      <c r="BW47" s="126">
        <f>171/723</f>
        <v>0.23651452282157676</v>
      </c>
      <c r="BX47" s="71" t="s">
        <v>750</v>
      </c>
      <c r="BY47">
        <v>144</v>
      </c>
      <c r="BZ47" t="s">
        <v>541</v>
      </c>
      <c r="CA47">
        <v>4</v>
      </c>
      <c r="CC47" s="5">
        <v>44587</v>
      </c>
      <c r="CD47" t="s">
        <v>542</v>
      </c>
      <c r="CE47">
        <v>1</v>
      </c>
      <c r="CF47" s="56">
        <v>0.10416666666666667</v>
      </c>
      <c r="CG47" s="56">
        <v>0.125</v>
      </c>
      <c r="CH47" t="s">
        <v>583</v>
      </c>
      <c r="CI47" s="56">
        <v>0.20833333333333334</v>
      </c>
      <c r="CJ47" t="s">
        <v>560</v>
      </c>
      <c r="CK47" s="118">
        <v>1</v>
      </c>
      <c r="CL47" t="s">
        <v>111</v>
      </c>
      <c r="CM47" s="56" t="s">
        <v>119</v>
      </c>
      <c r="CN47">
        <v>1</v>
      </c>
      <c r="CO47" t="s">
        <v>126</v>
      </c>
      <c r="CP47">
        <v>2</v>
      </c>
      <c r="CQ47">
        <v>2</v>
      </c>
      <c r="CS47" s="133" t="s">
        <v>129</v>
      </c>
      <c r="CT47" s="133" t="s">
        <v>129</v>
      </c>
      <c r="CU47" s="147"/>
      <c r="CX47" s="171" t="s">
        <v>768</v>
      </c>
      <c r="CY47" s="170" t="s">
        <v>844</v>
      </c>
      <c r="DB47" t="s">
        <v>942</v>
      </c>
      <c r="DC47" s="175">
        <f>3/207</f>
        <v>1.4492753623188406E-2</v>
      </c>
      <c r="DD47" t="s">
        <v>943</v>
      </c>
      <c r="DE47" s="174">
        <f>146/399</f>
        <v>0.36591478696741853</v>
      </c>
      <c r="DF47" t="s">
        <v>938</v>
      </c>
      <c r="DG47" s="175">
        <v>0</v>
      </c>
      <c r="DH47" t="s">
        <v>939</v>
      </c>
      <c r="DI47" s="175">
        <f>51/416</f>
        <v>0.12259615384615384</v>
      </c>
      <c r="DJ47" t="s">
        <v>940</v>
      </c>
      <c r="DK47" s="175">
        <v>0</v>
      </c>
      <c r="DL47" t="s">
        <v>941</v>
      </c>
      <c r="DM47" s="175">
        <f>114/603</f>
        <v>0.1890547263681592</v>
      </c>
    </row>
    <row r="48" spans="1:117" x14ac:dyDescent="0.3">
      <c r="A48" s="64">
        <v>45</v>
      </c>
      <c r="B48" s="34" t="s">
        <v>250</v>
      </c>
      <c r="C48" s="34">
        <v>5</v>
      </c>
      <c r="D48" s="34"/>
      <c r="E48" s="35">
        <v>44322</v>
      </c>
      <c r="F48" s="34" t="s">
        <v>251</v>
      </c>
      <c r="G48" s="34">
        <v>307</v>
      </c>
      <c r="H48" s="82">
        <v>1</v>
      </c>
      <c r="I48" s="16" t="s">
        <v>200</v>
      </c>
      <c r="J48" s="34">
        <v>1</v>
      </c>
      <c r="K48" s="34" t="s">
        <v>255</v>
      </c>
      <c r="L48" s="34">
        <v>2</v>
      </c>
      <c r="M48" s="34">
        <v>1</v>
      </c>
      <c r="N48" s="34">
        <v>1</v>
      </c>
      <c r="O48" s="34" t="s">
        <v>256</v>
      </c>
      <c r="Q48" s="8" t="s">
        <v>125</v>
      </c>
      <c r="R48" s="8" t="s">
        <v>129</v>
      </c>
      <c r="S48" s="8" t="s">
        <v>129</v>
      </c>
      <c r="T48" s="11" t="s">
        <v>129</v>
      </c>
      <c r="U48" s="11" t="s">
        <v>126</v>
      </c>
      <c r="V48" s="11" t="s">
        <v>129</v>
      </c>
      <c r="W48" s="11" t="s">
        <v>126</v>
      </c>
      <c r="Y48" s="11" t="s">
        <v>129</v>
      </c>
      <c r="Z48" s="26" t="s">
        <v>126</v>
      </c>
      <c r="AA48" s="26" t="s">
        <v>1007</v>
      </c>
      <c r="AC48" s="159" t="s">
        <v>181</v>
      </c>
      <c r="AD48" s="155" t="s">
        <v>181</v>
      </c>
      <c r="AE48" s="159"/>
      <c r="AF48" s="155" t="s">
        <v>758</v>
      </c>
      <c r="AG48" s="159"/>
      <c r="AH48" s="155" t="s">
        <v>761</v>
      </c>
      <c r="AI48" s="159" t="s">
        <v>313</v>
      </c>
      <c r="AJ48" s="155" t="s">
        <v>313</v>
      </c>
      <c r="AK48" s="160" t="s">
        <v>129</v>
      </c>
      <c r="AL48" s="162" t="s">
        <v>129</v>
      </c>
      <c r="AP48" s="49">
        <v>1</v>
      </c>
      <c r="AQ48" s="36">
        <v>0.10416666666666667</v>
      </c>
      <c r="AR48" s="36">
        <v>0.20833333333333334</v>
      </c>
      <c r="AS48" s="34" t="s">
        <v>82</v>
      </c>
      <c r="AT48" s="34">
        <v>1</v>
      </c>
      <c r="AU48" s="34" t="s">
        <v>258</v>
      </c>
      <c r="AV48" s="34" t="s">
        <v>259</v>
      </c>
      <c r="AW48" s="34">
        <v>0</v>
      </c>
      <c r="AX48" s="34">
        <v>2</v>
      </c>
      <c r="AY48" s="34">
        <v>1</v>
      </c>
      <c r="AZ48" s="34">
        <v>2</v>
      </c>
      <c r="BA48" s="97" t="s">
        <v>260</v>
      </c>
      <c r="BB48" s="109" t="s">
        <v>129</v>
      </c>
      <c r="BC48" s="109" t="s">
        <v>129</v>
      </c>
      <c r="BF48" s="169" t="s">
        <v>108</v>
      </c>
      <c r="BG48" s="169" t="s">
        <v>108</v>
      </c>
      <c r="BH48" s="75" t="s">
        <v>426</v>
      </c>
      <c r="BI48" s="66"/>
      <c r="BJ48" s="66"/>
      <c r="BK48" s="66"/>
      <c r="BL48" s="67" t="s">
        <v>357</v>
      </c>
      <c r="BM48" s="66"/>
      <c r="BN48" s="75" t="s">
        <v>427</v>
      </c>
      <c r="BO48" s="66"/>
      <c r="BP48" s="66"/>
      <c r="BQ48" s="127" t="s">
        <v>637</v>
      </c>
      <c r="BR48" s="127">
        <f>656/902</f>
        <v>0.72727272727272729</v>
      </c>
      <c r="BS48" s="121"/>
      <c r="BT48" s="67" t="s">
        <v>357</v>
      </c>
      <c r="BU48" s="66"/>
      <c r="BV48" s="127" t="s">
        <v>638</v>
      </c>
      <c r="BW48" s="127">
        <f>313/841</f>
        <v>0.37217598097502974</v>
      </c>
      <c r="BX48" s="137"/>
      <c r="BY48">
        <v>145</v>
      </c>
      <c r="BZ48" t="s">
        <v>549</v>
      </c>
      <c r="CA48">
        <v>5</v>
      </c>
      <c r="CC48" s="5">
        <v>44623</v>
      </c>
      <c r="CD48" t="s">
        <v>550</v>
      </c>
      <c r="CE48">
        <v>1</v>
      </c>
      <c r="CF48" s="56">
        <v>6.25E-2</v>
      </c>
      <c r="CG48" s="56">
        <v>0.125</v>
      </c>
      <c r="CH48" t="s">
        <v>572</v>
      </c>
      <c r="CI48" s="56">
        <v>0.20833333333333334</v>
      </c>
      <c r="CJ48" t="s">
        <v>560</v>
      </c>
      <c r="CK48" s="118">
        <v>1</v>
      </c>
      <c r="CL48" t="s">
        <v>111</v>
      </c>
      <c r="CM48" s="56" t="s">
        <v>577</v>
      </c>
      <c r="CN48" t="s">
        <v>126</v>
      </c>
      <c r="CO48" t="s">
        <v>126</v>
      </c>
      <c r="CP48">
        <v>1</v>
      </c>
      <c r="CQ48">
        <v>1</v>
      </c>
      <c r="CR48" t="s">
        <v>594</v>
      </c>
      <c r="CS48" s="134" t="s">
        <v>129</v>
      </c>
      <c r="CT48" s="134" t="s">
        <v>129</v>
      </c>
      <c r="CU48" s="147"/>
      <c r="CX48" s="171" t="s">
        <v>108</v>
      </c>
      <c r="CY48" s="171" t="s">
        <v>108</v>
      </c>
      <c r="DB48" t="s">
        <v>999</v>
      </c>
      <c r="DD48" t="s">
        <v>1000</v>
      </c>
      <c r="DF48" t="s">
        <v>944</v>
      </c>
      <c r="DG48" s="175">
        <f>39/266</f>
        <v>0.14661654135338345</v>
      </c>
      <c r="DH48" t="s">
        <v>945</v>
      </c>
      <c r="DI48" s="175">
        <f>50/361</f>
        <v>0.13850415512465375</v>
      </c>
      <c r="DJ48" t="s">
        <v>999</v>
      </c>
      <c r="DL48" t="s">
        <v>1000</v>
      </c>
    </row>
    <row r="49" spans="1:117" x14ac:dyDescent="0.3">
      <c r="A49" s="34">
        <v>46</v>
      </c>
      <c r="B49" s="34" t="s">
        <v>217</v>
      </c>
      <c r="C49" s="34">
        <v>6</v>
      </c>
      <c r="D49" s="34" t="s">
        <v>252</v>
      </c>
      <c r="E49" s="35">
        <v>44323</v>
      </c>
      <c r="F49" s="34" t="s">
        <v>253</v>
      </c>
      <c r="G49" s="34">
        <v>313</v>
      </c>
      <c r="H49" s="82">
        <v>1</v>
      </c>
      <c r="I49" s="16" t="s">
        <v>200</v>
      </c>
      <c r="J49" s="34">
        <v>1</v>
      </c>
      <c r="K49" s="34" t="s">
        <v>255</v>
      </c>
      <c r="L49" s="34">
        <v>2</v>
      </c>
      <c r="M49" s="34">
        <v>1</v>
      </c>
      <c r="N49" s="34">
        <v>1</v>
      </c>
      <c r="O49" s="34"/>
      <c r="Q49" s="8" t="s">
        <v>125</v>
      </c>
      <c r="R49" s="8" t="s">
        <v>129</v>
      </c>
      <c r="S49" s="8" t="s">
        <v>129</v>
      </c>
      <c r="T49" s="11" t="s">
        <v>129</v>
      </c>
      <c r="U49" s="11" t="s">
        <v>126</v>
      </c>
      <c r="V49" s="11" t="s">
        <v>129</v>
      </c>
      <c r="W49" s="11" t="s">
        <v>133</v>
      </c>
      <c r="X49" s="38" t="s">
        <v>448</v>
      </c>
      <c r="Y49" s="23" t="s">
        <v>126</v>
      </c>
      <c r="Z49" s="26" t="s">
        <v>126</v>
      </c>
      <c r="AA49" s="26" t="s">
        <v>1005</v>
      </c>
      <c r="AC49" s="156"/>
      <c r="AD49" s="157"/>
      <c r="AE49" s="156"/>
      <c r="AF49" s="157"/>
      <c r="AG49" s="156"/>
      <c r="AH49" s="157"/>
      <c r="AI49" s="156"/>
      <c r="AJ49" s="157"/>
      <c r="AK49" s="158" t="s">
        <v>126</v>
      </c>
      <c r="AL49" s="158" t="s">
        <v>126</v>
      </c>
      <c r="AP49" s="49">
        <v>1</v>
      </c>
      <c r="AQ49" s="36">
        <v>0.10416666666666667</v>
      </c>
      <c r="AR49" s="36">
        <v>0.20833333333333334</v>
      </c>
      <c r="AS49" s="34" t="s">
        <v>82</v>
      </c>
      <c r="AT49" s="34">
        <v>1</v>
      </c>
      <c r="AU49" s="34" t="s">
        <v>116</v>
      </c>
      <c r="AV49" s="34" t="s">
        <v>155</v>
      </c>
      <c r="AW49" s="34" t="s">
        <v>101</v>
      </c>
      <c r="AX49" s="34">
        <v>2</v>
      </c>
      <c r="AY49" s="34">
        <v>2</v>
      </c>
      <c r="AZ49" s="34">
        <v>2</v>
      </c>
      <c r="BA49" s="34"/>
      <c r="BB49" s="109" t="s">
        <v>129</v>
      </c>
      <c r="BC49" s="109" t="s">
        <v>129</v>
      </c>
      <c r="BF49" s="30" t="s">
        <v>108</v>
      </c>
      <c r="BG49" s="30" t="s">
        <v>108</v>
      </c>
      <c r="BQ49" s="183"/>
      <c r="BR49" s="183"/>
      <c r="BV49" s="183"/>
      <c r="BW49" s="183"/>
      <c r="BX49" s="71" t="s">
        <v>750</v>
      </c>
      <c r="BY49">
        <v>146</v>
      </c>
      <c r="BZ49" t="s">
        <v>538</v>
      </c>
      <c r="CA49">
        <v>6</v>
      </c>
      <c r="CB49" t="s">
        <v>539</v>
      </c>
      <c r="CC49" s="5">
        <v>44581</v>
      </c>
      <c r="CD49" t="s">
        <v>540</v>
      </c>
      <c r="CE49">
        <v>1</v>
      </c>
      <c r="CF49" s="56">
        <v>0.10416666666666667</v>
      </c>
      <c r="CG49" s="56">
        <v>0.125</v>
      </c>
      <c r="CH49" t="s">
        <v>583</v>
      </c>
      <c r="CI49" s="56">
        <v>0.20833333333333334</v>
      </c>
      <c r="CJ49" t="s">
        <v>560</v>
      </c>
      <c r="CK49" s="118">
        <v>1</v>
      </c>
      <c r="CL49" t="s">
        <v>116</v>
      </c>
      <c r="CM49" t="s">
        <v>119</v>
      </c>
      <c r="CN49">
        <v>1</v>
      </c>
      <c r="CO49">
        <v>1</v>
      </c>
      <c r="CP49">
        <v>2</v>
      </c>
      <c r="CQ49">
        <v>0</v>
      </c>
      <c r="CR49" t="s">
        <v>591</v>
      </c>
      <c r="CS49" s="133" t="s">
        <v>129</v>
      </c>
      <c r="CT49" s="133" t="s">
        <v>129</v>
      </c>
      <c r="CU49" s="147"/>
      <c r="CX49" s="170" t="s">
        <v>845</v>
      </c>
      <c r="CY49" s="170" t="s">
        <v>846</v>
      </c>
      <c r="DB49" t="s">
        <v>1000</v>
      </c>
      <c r="DD49" t="s">
        <v>999</v>
      </c>
      <c r="DF49" t="s">
        <v>1000</v>
      </c>
      <c r="DH49" t="s">
        <v>999</v>
      </c>
      <c r="DJ49" t="s">
        <v>1000</v>
      </c>
      <c r="DL49" t="s">
        <v>999</v>
      </c>
    </row>
    <row r="50" spans="1:117" x14ac:dyDescent="0.3">
      <c r="A50" s="34">
        <v>47</v>
      </c>
      <c r="B50" s="34" t="s">
        <v>261</v>
      </c>
      <c r="C50" s="34">
        <v>7</v>
      </c>
      <c r="D50" s="34"/>
      <c r="E50" s="35">
        <v>44326</v>
      </c>
      <c r="F50" s="34" t="s">
        <v>262</v>
      </c>
      <c r="G50" s="34">
        <v>315</v>
      </c>
      <c r="H50" s="82">
        <v>1</v>
      </c>
      <c r="I50" s="16" t="s">
        <v>200</v>
      </c>
      <c r="J50" s="34">
        <v>1</v>
      </c>
      <c r="K50" s="34">
        <v>0</v>
      </c>
      <c r="L50" s="34">
        <v>2</v>
      </c>
      <c r="M50" s="34">
        <v>1</v>
      </c>
      <c r="N50" s="34">
        <v>1</v>
      </c>
      <c r="O50" s="34"/>
      <c r="Q50" s="8" t="s">
        <v>125</v>
      </c>
      <c r="R50" s="8" t="s">
        <v>129</v>
      </c>
      <c r="S50" s="8" t="s">
        <v>129</v>
      </c>
      <c r="T50" s="11" t="s">
        <v>129</v>
      </c>
      <c r="U50" s="11" t="s">
        <v>126</v>
      </c>
      <c r="V50" s="11" t="s">
        <v>129</v>
      </c>
      <c r="W50" s="11" t="s">
        <v>129</v>
      </c>
      <c r="X50" s="38" t="s">
        <v>264</v>
      </c>
      <c r="Y50" s="23" t="s">
        <v>126</v>
      </c>
      <c r="Z50" s="26" t="s">
        <v>126</v>
      </c>
      <c r="AA50" s="26" t="s">
        <v>1005</v>
      </c>
      <c r="AC50" s="156"/>
      <c r="AD50" s="157"/>
      <c r="AE50" s="156"/>
      <c r="AF50" s="157"/>
      <c r="AG50" s="156"/>
      <c r="AH50" s="157"/>
      <c r="AI50" s="156" t="s">
        <v>313</v>
      </c>
      <c r="AJ50" s="157" t="s">
        <v>313</v>
      </c>
      <c r="AK50" s="158" t="s">
        <v>126</v>
      </c>
      <c r="AL50" s="158" t="s">
        <v>126</v>
      </c>
      <c r="AP50" s="49">
        <v>1</v>
      </c>
      <c r="AQ50" s="36">
        <v>0.10416666666666667</v>
      </c>
      <c r="AR50" s="36">
        <v>0.20833333333333334</v>
      </c>
      <c r="AS50" s="34" t="s">
        <v>82</v>
      </c>
      <c r="AT50" s="34">
        <v>1</v>
      </c>
      <c r="AU50" s="34" t="s">
        <v>116</v>
      </c>
      <c r="AV50" s="34" t="s">
        <v>106</v>
      </c>
      <c r="AW50" s="34">
        <v>2</v>
      </c>
      <c r="AX50" s="34">
        <v>2</v>
      </c>
      <c r="AY50" s="34">
        <v>1</v>
      </c>
      <c r="AZ50" s="34">
        <v>2</v>
      </c>
      <c r="BA50" s="34" t="s">
        <v>263</v>
      </c>
      <c r="BB50" s="109" t="s">
        <v>129</v>
      </c>
      <c r="BC50" s="109" t="s">
        <v>129</v>
      </c>
      <c r="BF50" s="166" t="s">
        <v>782</v>
      </c>
      <c r="BG50" s="166" t="s">
        <v>783</v>
      </c>
      <c r="BQ50" s="183"/>
      <c r="BR50" s="183"/>
      <c r="BV50" s="183"/>
      <c r="BW50" s="183"/>
      <c r="BX50" s="135"/>
      <c r="BY50" s="135"/>
      <c r="BZ50" s="135"/>
      <c r="CA50" s="135"/>
      <c r="CB50" s="135"/>
      <c r="CC50" s="135"/>
      <c r="CD50" s="135"/>
      <c r="CE50" s="135"/>
      <c r="CF50" s="135"/>
      <c r="CG50" s="135"/>
      <c r="CH50" s="135"/>
      <c r="CI50" s="135"/>
      <c r="CJ50" s="135"/>
      <c r="CK50" s="135"/>
      <c r="CL50" s="135"/>
      <c r="CM50" s="135"/>
      <c r="CN50" s="135"/>
      <c r="CO50" s="135"/>
      <c r="CP50" s="135"/>
      <c r="CQ50" s="135"/>
      <c r="CR50" s="135"/>
      <c r="CS50" s="135"/>
      <c r="CT50" s="135"/>
      <c r="CX50" s="171" t="s">
        <v>108</v>
      </c>
      <c r="CY50" s="171" t="s">
        <v>108</v>
      </c>
      <c r="DB50" s="135"/>
      <c r="DC50" s="135"/>
      <c r="DD50" s="135"/>
      <c r="DE50" s="135"/>
      <c r="DF50" s="135"/>
      <c r="DG50" s="135"/>
      <c r="DH50" s="135"/>
      <c r="DI50" s="135"/>
      <c r="DJ50" s="135"/>
      <c r="DK50" s="135"/>
      <c r="DL50" s="135"/>
      <c r="DM50" s="135"/>
    </row>
    <row r="51" spans="1:117" x14ac:dyDescent="0.3">
      <c r="A51" s="34">
        <v>48</v>
      </c>
      <c r="B51" s="34" t="s">
        <v>274</v>
      </c>
      <c r="C51" s="34">
        <v>8</v>
      </c>
      <c r="D51" s="34"/>
      <c r="E51" s="35">
        <v>44327</v>
      </c>
      <c r="F51" s="35" t="s">
        <v>184</v>
      </c>
      <c r="G51" s="34">
        <v>316</v>
      </c>
      <c r="H51" s="82">
        <v>1</v>
      </c>
      <c r="I51" s="16" t="s">
        <v>200</v>
      </c>
      <c r="J51" s="37">
        <v>0</v>
      </c>
      <c r="K51" s="34"/>
      <c r="L51" s="34"/>
      <c r="M51" s="34"/>
      <c r="N51" s="34"/>
      <c r="O51" s="34"/>
      <c r="Y51" s="23" t="s">
        <v>126</v>
      </c>
      <c r="AA51" s="26" t="s">
        <v>1010</v>
      </c>
      <c r="AK51" s="26" t="s">
        <v>126</v>
      </c>
      <c r="AL51" s="26" t="s">
        <v>126</v>
      </c>
      <c r="AP51" s="49">
        <v>1</v>
      </c>
      <c r="AQ51" s="36">
        <v>0.10416666666666667</v>
      </c>
      <c r="AR51" s="36">
        <v>0.20833333333333334</v>
      </c>
      <c r="AS51" s="34" t="s">
        <v>286</v>
      </c>
      <c r="AT51" s="34">
        <v>1</v>
      </c>
      <c r="AU51" s="34" t="s">
        <v>105</v>
      </c>
      <c r="AV51" s="34" t="s">
        <v>155</v>
      </c>
      <c r="AW51" s="34">
        <v>1</v>
      </c>
      <c r="AX51" s="34">
        <v>0</v>
      </c>
      <c r="AY51" s="34">
        <v>2</v>
      </c>
      <c r="AZ51" s="34">
        <v>2</v>
      </c>
      <c r="BA51" s="34" t="s">
        <v>287</v>
      </c>
      <c r="BB51" s="109" t="s">
        <v>129</v>
      </c>
      <c r="BC51" s="109" t="s">
        <v>129</v>
      </c>
      <c r="BF51" s="30" t="s">
        <v>768</v>
      </c>
      <c r="BG51" s="166" t="s">
        <v>784</v>
      </c>
      <c r="BQ51" s="183"/>
      <c r="BR51" s="183"/>
      <c r="BV51" s="183"/>
      <c r="BW51" s="183"/>
      <c r="BX51" s="60" t="s">
        <v>749</v>
      </c>
      <c r="BY51" s="135"/>
      <c r="BZ51" s="135"/>
      <c r="CA51" s="135"/>
      <c r="CB51" s="135"/>
      <c r="CC51" s="135"/>
      <c r="CD51" s="135"/>
      <c r="CE51" s="135"/>
      <c r="CF51" s="135"/>
      <c r="CG51" s="135"/>
      <c r="CH51" s="135"/>
      <c r="CI51" s="135"/>
      <c r="CJ51" s="135"/>
      <c r="CK51" s="135"/>
      <c r="CL51" s="135"/>
      <c r="CM51" s="135"/>
      <c r="CN51" s="135"/>
      <c r="CO51" s="135"/>
      <c r="CP51" s="135"/>
      <c r="CQ51" s="135"/>
      <c r="CR51" s="135"/>
      <c r="CS51" s="135"/>
      <c r="CT51" s="135"/>
      <c r="CX51" s="171" t="s">
        <v>108</v>
      </c>
      <c r="CY51" s="171" t="s">
        <v>108</v>
      </c>
      <c r="DB51" s="135"/>
      <c r="DC51" s="135"/>
      <c r="DD51" s="135"/>
      <c r="DE51" s="135"/>
      <c r="DF51" s="135"/>
      <c r="DG51" s="135"/>
      <c r="DH51" s="135"/>
      <c r="DI51" s="135"/>
      <c r="DJ51" s="135"/>
      <c r="DK51" s="135"/>
      <c r="DL51" s="135"/>
      <c r="DM51" s="135"/>
    </row>
    <row r="52" spans="1:117" x14ac:dyDescent="0.3">
      <c r="A52" s="64">
        <v>49</v>
      </c>
      <c r="B52" s="34" t="s">
        <v>275</v>
      </c>
      <c r="C52" s="34">
        <v>1</v>
      </c>
      <c r="D52" s="34"/>
      <c r="E52" s="35">
        <v>44328</v>
      </c>
      <c r="F52" s="34" t="s">
        <v>17</v>
      </c>
      <c r="G52" s="34">
        <v>307</v>
      </c>
      <c r="H52" s="82">
        <v>2</v>
      </c>
      <c r="I52" s="87" t="s">
        <v>201</v>
      </c>
      <c r="J52" s="34">
        <v>1</v>
      </c>
      <c r="K52" s="34">
        <v>0</v>
      </c>
      <c r="L52" s="34">
        <v>2</v>
      </c>
      <c r="M52" s="34">
        <v>1</v>
      </c>
      <c r="N52" s="34">
        <v>1</v>
      </c>
      <c r="O52" s="34" t="s">
        <v>288</v>
      </c>
      <c r="Q52" s="8" t="s">
        <v>125</v>
      </c>
      <c r="R52" s="8" t="s">
        <v>129</v>
      </c>
      <c r="S52" s="8" t="s">
        <v>129</v>
      </c>
      <c r="T52" s="11" t="s">
        <v>129</v>
      </c>
      <c r="U52" s="11" t="s">
        <v>126</v>
      </c>
      <c r="V52" s="11" t="s">
        <v>129</v>
      </c>
      <c r="W52" s="11" t="s">
        <v>126</v>
      </c>
      <c r="Y52" s="11" t="s">
        <v>129</v>
      </c>
      <c r="Z52" s="26" t="s">
        <v>126</v>
      </c>
      <c r="AA52" s="26" t="s">
        <v>1015</v>
      </c>
      <c r="AC52" s="43" t="s">
        <v>181</v>
      </c>
      <c r="AD52" s="52" t="s">
        <v>181</v>
      </c>
      <c r="AE52" s="43"/>
      <c r="AF52" s="52" t="s">
        <v>758</v>
      </c>
      <c r="AG52" s="43"/>
      <c r="AH52" s="52" t="s">
        <v>761</v>
      </c>
      <c r="AI52" s="43" t="s">
        <v>313</v>
      </c>
      <c r="AJ52" s="52" t="s">
        <v>313</v>
      </c>
      <c r="AK52" s="102" t="s">
        <v>126</v>
      </c>
      <c r="AL52" s="145" t="s">
        <v>129</v>
      </c>
      <c r="AP52" s="49">
        <v>1</v>
      </c>
      <c r="AQ52" s="36">
        <v>0.10416666666666667</v>
      </c>
      <c r="AR52" s="36">
        <v>0.20833333333333334</v>
      </c>
      <c r="AS52" s="34" t="s">
        <v>82</v>
      </c>
      <c r="AT52" s="34">
        <v>1</v>
      </c>
      <c r="AU52" s="34" t="s">
        <v>111</v>
      </c>
      <c r="AV52" s="34" t="s">
        <v>106</v>
      </c>
      <c r="AW52" s="34">
        <v>1</v>
      </c>
      <c r="AX52" s="34">
        <v>2</v>
      </c>
      <c r="AY52" s="34">
        <v>1</v>
      </c>
      <c r="AZ52" s="34">
        <v>2</v>
      </c>
      <c r="BA52" s="34" t="s">
        <v>289</v>
      </c>
      <c r="BB52" s="33" t="s">
        <v>703</v>
      </c>
      <c r="BC52" s="33" t="s">
        <v>703</v>
      </c>
      <c r="BF52" s="169" t="s">
        <v>108</v>
      </c>
      <c r="BG52" s="169" t="s">
        <v>108</v>
      </c>
      <c r="BH52" s="40" t="s">
        <v>273</v>
      </c>
      <c r="BI52" t="s">
        <v>273</v>
      </c>
      <c r="BJ52" t="s">
        <v>273</v>
      </c>
      <c r="BM52" s="60" t="s">
        <v>357</v>
      </c>
      <c r="BN52" s="59" t="s">
        <v>357</v>
      </c>
      <c r="BQ52" s="127" t="s">
        <v>639</v>
      </c>
      <c r="BR52" s="127">
        <f>142/440</f>
        <v>0.32272727272727275</v>
      </c>
      <c r="BS52" s="120" t="s">
        <v>428</v>
      </c>
      <c r="BV52" s="126" t="s">
        <v>640</v>
      </c>
      <c r="BW52" s="126">
        <f>0/678</f>
        <v>0</v>
      </c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X52" s="171" t="s">
        <v>108</v>
      </c>
      <c r="CY52" s="171" t="s">
        <v>108</v>
      </c>
      <c r="DB52" s="135"/>
      <c r="DC52" s="135"/>
      <c r="DD52" s="135"/>
      <c r="DE52" s="135"/>
      <c r="DF52" s="135"/>
      <c r="DG52" s="135"/>
      <c r="DH52" s="135"/>
      <c r="DI52" s="135"/>
      <c r="DJ52" s="135"/>
      <c r="DK52" s="135"/>
      <c r="DL52" s="135"/>
      <c r="DM52" s="135"/>
    </row>
    <row r="53" spans="1:117" x14ac:dyDescent="0.3">
      <c r="A53" s="64">
        <v>50</v>
      </c>
      <c r="B53" s="34" t="s">
        <v>276</v>
      </c>
      <c r="C53" s="34">
        <v>2</v>
      </c>
      <c r="D53" s="34"/>
      <c r="E53" s="35">
        <v>44328</v>
      </c>
      <c r="F53" s="34" t="s">
        <v>17</v>
      </c>
      <c r="G53" s="34">
        <v>307</v>
      </c>
      <c r="H53" s="82">
        <v>1</v>
      </c>
      <c r="I53" s="16" t="s">
        <v>200</v>
      </c>
      <c r="J53" s="34">
        <v>1</v>
      </c>
      <c r="K53" s="34"/>
      <c r="L53" s="34">
        <v>1</v>
      </c>
      <c r="M53" s="34">
        <v>1</v>
      </c>
      <c r="N53" s="34">
        <v>1</v>
      </c>
      <c r="O53" s="34"/>
      <c r="Q53" s="8" t="s">
        <v>125</v>
      </c>
      <c r="R53" s="8" t="s">
        <v>129</v>
      </c>
      <c r="S53" s="8" t="s">
        <v>129</v>
      </c>
      <c r="T53" s="11" t="s">
        <v>129</v>
      </c>
      <c r="U53" s="11" t="s">
        <v>126</v>
      </c>
      <c r="V53" s="11" t="s">
        <v>129</v>
      </c>
      <c r="W53" s="11" t="s">
        <v>126</v>
      </c>
      <c r="Y53" s="11" t="s">
        <v>129</v>
      </c>
      <c r="Z53" s="26" t="s">
        <v>126</v>
      </c>
      <c r="AA53" s="178">
        <v>1</v>
      </c>
      <c r="AB53" s="178" t="s">
        <v>1033</v>
      </c>
      <c r="AC53" s="43" t="s">
        <v>181</v>
      </c>
      <c r="AD53" s="52" t="s">
        <v>181</v>
      </c>
      <c r="AE53" s="43"/>
      <c r="AF53" s="52" t="s">
        <v>758</v>
      </c>
      <c r="AG53" s="43"/>
      <c r="AH53" s="52" t="s">
        <v>761</v>
      </c>
      <c r="AI53" s="43"/>
      <c r="AJ53" s="52"/>
      <c r="AK53" s="102" t="s">
        <v>129</v>
      </c>
      <c r="AL53" s="102" t="s">
        <v>129</v>
      </c>
      <c r="AM53" s="142"/>
      <c r="AN53" s="142"/>
      <c r="AO53" s="150"/>
      <c r="AP53" s="49">
        <v>1</v>
      </c>
      <c r="AQ53" s="36">
        <v>0.10416666666666667</v>
      </c>
      <c r="AR53" s="36">
        <v>0.20833333333333334</v>
      </c>
      <c r="AS53" s="34" t="s">
        <v>82</v>
      </c>
      <c r="AT53" s="34">
        <v>1</v>
      </c>
      <c r="AU53" s="34" t="s">
        <v>116</v>
      </c>
      <c r="AV53" s="34" t="s">
        <v>211</v>
      </c>
      <c r="AW53" s="34">
        <v>1</v>
      </c>
      <c r="AX53" s="34">
        <v>1</v>
      </c>
      <c r="AY53" s="34">
        <v>0</v>
      </c>
      <c r="AZ53" s="34">
        <v>2</v>
      </c>
      <c r="BA53" s="34" t="s">
        <v>290</v>
      </c>
      <c r="BB53" s="109" t="s">
        <v>129</v>
      </c>
      <c r="BC53" s="109" t="s">
        <v>129</v>
      </c>
      <c r="BF53" s="167" t="s">
        <v>785</v>
      </c>
      <c r="BG53" s="167" t="s">
        <v>786</v>
      </c>
      <c r="BH53" s="75" t="s">
        <v>426</v>
      </c>
      <c r="BK53" s="60" t="s">
        <v>429</v>
      </c>
      <c r="BN53" s="59" t="s">
        <v>428</v>
      </c>
      <c r="BQ53" s="128" t="s">
        <v>642</v>
      </c>
      <c r="BR53" s="128">
        <f>1/444</f>
        <v>2.2522522522522522E-3</v>
      </c>
      <c r="BT53" s="60" t="s">
        <v>357</v>
      </c>
      <c r="BV53" s="128" t="s">
        <v>643</v>
      </c>
      <c r="BW53" s="128">
        <f>18/626</f>
        <v>2.8753993610223641E-2</v>
      </c>
      <c r="BX53" s="71" t="s">
        <v>750</v>
      </c>
      <c r="BY53">
        <v>150</v>
      </c>
      <c r="BZ53" t="s">
        <v>534</v>
      </c>
      <c r="CA53">
        <v>2</v>
      </c>
      <c r="CC53" t="s">
        <v>535</v>
      </c>
      <c r="CE53">
        <v>1</v>
      </c>
      <c r="CF53" s="56">
        <v>0.10416666666666667</v>
      </c>
      <c r="CG53" s="56">
        <v>0.125</v>
      </c>
      <c r="CH53" t="s">
        <v>572</v>
      </c>
      <c r="CI53" s="56">
        <v>0.20833333333333334</v>
      </c>
      <c r="CJ53" t="s">
        <v>560</v>
      </c>
      <c r="CK53" s="118">
        <v>1</v>
      </c>
      <c r="CL53" t="s">
        <v>105</v>
      </c>
      <c r="CM53" s="56" t="s">
        <v>119</v>
      </c>
      <c r="CN53">
        <v>1</v>
      </c>
      <c r="CO53">
        <v>0</v>
      </c>
      <c r="CP53">
        <v>1</v>
      </c>
      <c r="CQ53">
        <v>1</v>
      </c>
      <c r="CR53" t="s">
        <v>590</v>
      </c>
      <c r="CS53" s="133" t="s">
        <v>129</v>
      </c>
      <c r="CT53" s="133" t="s">
        <v>129</v>
      </c>
      <c r="CU53" s="147"/>
      <c r="CX53" s="170" t="s">
        <v>843</v>
      </c>
      <c r="CY53" s="170" t="s">
        <v>847</v>
      </c>
      <c r="DB53" t="s">
        <v>950</v>
      </c>
      <c r="DC53" s="175">
        <f>7/211</f>
        <v>3.3175355450236969E-2</v>
      </c>
      <c r="DD53" t="s">
        <v>951</v>
      </c>
      <c r="DE53" s="175">
        <v>0</v>
      </c>
      <c r="DF53" t="s">
        <v>946</v>
      </c>
      <c r="DG53" s="175">
        <v>0</v>
      </c>
      <c r="DH53" t="s">
        <v>947</v>
      </c>
      <c r="DI53" s="175">
        <v>0</v>
      </c>
      <c r="DJ53" t="s">
        <v>948</v>
      </c>
      <c r="DK53" s="175">
        <f>3/408</f>
        <v>7.3529411764705881E-3</v>
      </c>
      <c r="DL53" t="s">
        <v>949</v>
      </c>
      <c r="DM53" s="175">
        <v>0</v>
      </c>
    </row>
    <row r="54" spans="1:117" x14ac:dyDescent="0.3">
      <c r="A54" s="64">
        <v>51</v>
      </c>
      <c r="B54" s="34" t="s">
        <v>277</v>
      </c>
      <c r="C54" s="34">
        <v>3</v>
      </c>
      <c r="D54" s="34"/>
      <c r="E54" s="35">
        <v>44330</v>
      </c>
      <c r="F54" s="34" t="s">
        <v>206</v>
      </c>
      <c r="G54" s="34">
        <v>314</v>
      </c>
      <c r="H54" s="82">
        <v>1</v>
      </c>
      <c r="I54" s="16" t="s">
        <v>200</v>
      </c>
      <c r="J54" s="34">
        <v>1</v>
      </c>
      <c r="K54" s="34">
        <v>0</v>
      </c>
      <c r="L54" s="34">
        <v>2</v>
      </c>
      <c r="M54" s="34">
        <v>1</v>
      </c>
      <c r="N54" s="34">
        <v>1</v>
      </c>
      <c r="O54" s="34"/>
      <c r="Q54" s="8" t="s">
        <v>125</v>
      </c>
      <c r="R54" s="8" t="s">
        <v>129</v>
      </c>
      <c r="S54" s="8" t="s">
        <v>129</v>
      </c>
      <c r="T54" s="11" t="s">
        <v>129</v>
      </c>
      <c r="U54" s="11" t="s">
        <v>126</v>
      </c>
      <c r="V54" s="11" t="s">
        <v>129</v>
      </c>
      <c r="W54" s="11" t="s">
        <v>126</v>
      </c>
      <c r="Y54" s="11" t="s">
        <v>129</v>
      </c>
      <c r="Z54" s="26" t="s">
        <v>126</v>
      </c>
      <c r="AA54" s="26" t="s">
        <v>1014</v>
      </c>
      <c r="AC54" s="43" t="s">
        <v>181</v>
      </c>
      <c r="AD54" s="52" t="s">
        <v>181</v>
      </c>
      <c r="AE54" s="43"/>
      <c r="AF54" s="52" t="s">
        <v>758</v>
      </c>
      <c r="AG54" s="43"/>
      <c r="AH54" s="52" t="s">
        <v>761</v>
      </c>
      <c r="AI54" s="43" t="s">
        <v>313</v>
      </c>
      <c r="AJ54" s="52" t="s">
        <v>313</v>
      </c>
      <c r="AK54" s="102" t="s">
        <v>129</v>
      </c>
      <c r="AL54" s="145" t="s">
        <v>129</v>
      </c>
      <c r="AP54" s="49">
        <v>1</v>
      </c>
      <c r="AQ54" s="36">
        <v>0.10416666666666667</v>
      </c>
      <c r="AR54" s="36">
        <v>0.20833333333333334</v>
      </c>
      <c r="AS54" s="34" t="s">
        <v>82</v>
      </c>
      <c r="AT54" s="34">
        <v>1</v>
      </c>
      <c r="AU54" s="34" t="s">
        <v>210</v>
      </c>
      <c r="AV54" s="34" t="s">
        <v>223</v>
      </c>
      <c r="AW54" s="34">
        <v>1</v>
      </c>
      <c r="AX54" s="34">
        <v>1</v>
      </c>
      <c r="AY54" s="34">
        <v>2</v>
      </c>
      <c r="AZ54" s="34">
        <v>2</v>
      </c>
      <c r="BA54" s="34"/>
      <c r="BB54" s="109" t="s">
        <v>129</v>
      </c>
      <c r="BC54" s="109" t="s">
        <v>129</v>
      </c>
      <c r="BF54" s="169" t="s">
        <v>768</v>
      </c>
      <c r="BG54" s="167" t="s">
        <v>780</v>
      </c>
      <c r="BJ54" s="60" t="s">
        <v>272</v>
      </c>
      <c r="BM54" s="60" t="s">
        <v>428</v>
      </c>
      <c r="BP54" s="60" t="s">
        <v>357</v>
      </c>
      <c r="BQ54" s="126" t="s">
        <v>644</v>
      </c>
      <c r="BR54" s="126">
        <f>30/390</f>
        <v>7.6923076923076927E-2</v>
      </c>
      <c r="BT54" s="60" t="s">
        <v>357</v>
      </c>
      <c r="BV54" s="127" t="s">
        <v>645</v>
      </c>
      <c r="BW54" s="127">
        <f>191/688</f>
        <v>0.27761627906976744</v>
      </c>
      <c r="BX54" s="71" t="s">
        <v>750</v>
      </c>
      <c r="BY54">
        <v>151</v>
      </c>
      <c r="BZ54" t="s">
        <v>536</v>
      </c>
      <c r="CA54">
        <v>3</v>
      </c>
      <c r="CC54" s="5">
        <v>44580</v>
      </c>
      <c r="CD54" t="s">
        <v>537</v>
      </c>
      <c r="CE54">
        <v>1</v>
      </c>
      <c r="CF54" s="56">
        <v>0.10416666666666667</v>
      </c>
      <c r="CG54" s="56">
        <v>0.125</v>
      </c>
      <c r="CH54" t="s">
        <v>583</v>
      </c>
      <c r="CI54" s="56">
        <v>0.20833333333333334</v>
      </c>
      <c r="CJ54" t="s">
        <v>560</v>
      </c>
      <c r="CK54" s="118">
        <v>1</v>
      </c>
      <c r="CL54" t="s">
        <v>111</v>
      </c>
      <c r="CM54" s="56" t="s">
        <v>573</v>
      </c>
      <c r="CN54">
        <v>0</v>
      </c>
      <c r="CO54">
        <v>1</v>
      </c>
      <c r="CP54">
        <v>2</v>
      </c>
      <c r="CQ54">
        <v>2</v>
      </c>
      <c r="CS54" s="133" t="s">
        <v>129</v>
      </c>
      <c r="CT54" s="133" t="s">
        <v>129</v>
      </c>
      <c r="CU54" s="147"/>
      <c r="CX54" s="170" t="s">
        <v>835</v>
      </c>
      <c r="CY54" s="170" t="s">
        <v>848</v>
      </c>
      <c r="DB54" t="s">
        <v>956</v>
      </c>
      <c r="DC54" s="175">
        <f>4/179</f>
        <v>2.23463687150838E-2</v>
      </c>
      <c r="DD54" t="s">
        <v>957</v>
      </c>
      <c r="DE54" s="175">
        <v>0</v>
      </c>
      <c r="DF54" t="s">
        <v>952</v>
      </c>
      <c r="DG54" s="175">
        <f>27/189</f>
        <v>0.14285714285714285</v>
      </c>
      <c r="DH54" t="s">
        <v>953</v>
      </c>
      <c r="DI54" s="175">
        <v>0</v>
      </c>
      <c r="DJ54" t="s">
        <v>954</v>
      </c>
      <c r="DK54" s="175">
        <f>6/333</f>
        <v>1.8018018018018018E-2</v>
      </c>
      <c r="DL54" t="s">
        <v>955</v>
      </c>
      <c r="DM54" s="175">
        <v>0</v>
      </c>
    </row>
    <row r="55" spans="1:117" x14ac:dyDescent="0.3">
      <c r="A55" s="64">
        <v>52</v>
      </c>
      <c r="B55" s="34" t="s">
        <v>278</v>
      </c>
      <c r="C55" s="34">
        <v>4</v>
      </c>
      <c r="D55" s="34"/>
      <c r="E55" s="35">
        <v>44334</v>
      </c>
      <c r="F55" s="35" t="s">
        <v>279</v>
      </c>
      <c r="G55" s="34">
        <v>305</v>
      </c>
      <c r="H55" s="82">
        <v>2</v>
      </c>
      <c r="I55" s="87" t="s">
        <v>201</v>
      </c>
      <c r="J55" s="34">
        <v>1</v>
      </c>
      <c r="K55" s="34">
        <v>0</v>
      </c>
      <c r="L55" s="34">
        <v>2</v>
      </c>
      <c r="M55" s="34">
        <v>1</v>
      </c>
      <c r="N55" s="34">
        <v>1</v>
      </c>
      <c r="Q55" s="8" t="s">
        <v>125</v>
      </c>
      <c r="R55" s="8" t="s">
        <v>129</v>
      </c>
      <c r="S55" s="8" t="s">
        <v>129</v>
      </c>
      <c r="T55" s="11" t="s">
        <v>129</v>
      </c>
      <c r="U55" s="11" t="s">
        <v>126</v>
      </c>
      <c r="V55" s="11" t="s">
        <v>129</v>
      </c>
      <c r="W55" s="11" t="s">
        <v>126</v>
      </c>
      <c r="Y55" s="11" t="s">
        <v>129</v>
      </c>
      <c r="Z55" s="26" t="s">
        <v>126</v>
      </c>
      <c r="AA55" s="178">
        <v>1</v>
      </c>
      <c r="AB55" s="178" t="s">
        <v>1034</v>
      </c>
      <c r="AC55" s="43" t="s">
        <v>181</v>
      </c>
      <c r="AD55" s="52" t="s">
        <v>181</v>
      </c>
      <c r="AE55" s="43"/>
      <c r="AF55" s="52" t="s">
        <v>758</v>
      </c>
      <c r="AG55" s="43"/>
      <c r="AH55" s="52" t="s">
        <v>761</v>
      </c>
      <c r="AI55" s="43" t="s">
        <v>313</v>
      </c>
      <c r="AJ55" s="52" t="s">
        <v>313</v>
      </c>
      <c r="AK55" s="102" t="s">
        <v>129</v>
      </c>
      <c r="AL55" s="102" t="s">
        <v>129</v>
      </c>
      <c r="AM55" s="142"/>
      <c r="AN55" s="142"/>
      <c r="AO55" s="150"/>
      <c r="AP55" s="49">
        <v>1</v>
      </c>
      <c r="AQ55" s="36">
        <v>8.3333333333333329E-2</v>
      </c>
      <c r="AR55" s="36">
        <v>0.20833333333333334</v>
      </c>
      <c r="AS55" s="34" t="s">
        <v>291</v>
      </c>
      <c r="AT55" s="34">
        <v>1</v>
      </c>
      <c r="AU55" s="34" t="s">
        <v>292</v>
      </c>
      <c r="AV55" s="34" t="s">
        <v>211</v>
      </c>
      <c r="AW55" s="34">
        <v>1</v>
      </c>
      <c r="AX55" s="34">
        <v>2</v>
      </c>
      <c r="AY55" s="34">
        <v>2</v>
      </c>
      <c r="AZ55" s="34">
        <v>2</v>
      </c>
      <c r="BA55" s="34" t="s">
        <v>293</v>
      </c>
      <c r="BB55" s="33" t="s">
        <v>754</v>
      </c>
      <c r="BC55" s="33" t="s">
        <v>754</v>
      </c>
      <c r="BF55" s="167" t="s">
        <v>776</v>
      </c>
      <c r="BG55" s="167" t="s">
        <v>780</v>
      </c>
      <c r="BI55" s="60" t="s">
        <v>357</v>
      </c>
      <c r="BL55" s="60" t="s">
        <v>357</v>
      </c>
      <c r="BO55" s="60" t="s">
        <v>357</v>
      </c>
      <c r="BQ55" s="128" t="s">
        <v>646</v>
      </c>
      <c r="BR55" s="128">
        <f>0/390</f>
        <v>0</v>
      </c>
      <c r="BT55" s="60" t="s">
        <v>357</v>
      </c>
      <c r="BV55" s="128" t="s">
        <v>626</v>
      </c>
      <c r="BW55" s="128">
        <f>0/644</f>
        <v>0</v>
      </c>
      <c r="BX55" s="60" t="s">
        <v>749</v>
      </c>
      <c r="BY55" s="135"/>
      <c r="BZ55" s="135"/>
      <c r="CA55" s="135"/>
      <c r="CB55" s="135"/>
      <c r="CC55" s="135"/>
      <c r="CD55" s="135"/>
      <c r="CE55" s="135"/>
      <c r="CF55" s="135"/>
      <c r="CG55" s="135"/>
      <c r="CH55" s="135"/>
      <c r="CI55" s="135"/>
      <c r="CJ55" s="135"/>
      <c r="CK55" s="135"/>
      <c r="CL55" s="135"/>
      <c r="CM55" s="135"/>
      <c r="CN55" s="135"/>
      <c r="CO55" s="135"/>
      <c r="CP55" s="135"/>
      <c r="CQ55" s="135"/>
      <c r="CR55" s="135"/>
      <c r="CS55" s="135"/>
      <c r="CT55" s="135"/>
      <c r="CX55" s="171" t="s">
        <v>108</v>
      </c>
      <c r="CY55" s="171" t="s">
        <v>108</v>
      </c>
      <c r="DB55" s="135"/>
      <c r="DC55" s="135"/>
      <c r="DD55" s="135"/>
      <c r="DE55" s="135"/>
      <c r="DF55" s="135"/>
      <c r="DG55" s="135"/>
      <c r="DH55" s="135"/>
      <c r="DI55" s="135"/>
      <c r="DJ55" s="135"/>
      <c r="DK55" s="135"/>
      <c r="DL55" s="135"/>
      <c r="DM55" s="135"/>
    </row>
    <row r="56" spans="1:117" x14ac:dyDescent="0.3">
      <c r="A56" s="34">
        <v>53</v>
      </c>
      <c r="B56" s="34" t="s">
        <v>280</v>
      </c>
      <c r="C56" s="34">
        <v>5</v>
      </c>
      <c r="D56" s="34"/>
      <c r="E56" s="35">
        <v>44335</v>
      </c>
      <c r="F56" s="35" t="s">
        <v>14</v>
      </c>
      <c r="G56" s="34">
        <v>304</v>
      </c>
      <c r="H56" s="82">
        <v>1</v>
      </c>
      <c r="I56" s="16" t="s">
        <v>200</v>
      </c>
      <c r="J56" s="34">
        <v>1</v>
      </c>
      <c r="K56" s="34">
        <v>0</v>
      </c>
      <c r="L56" s="34">
        <v>2</v>
      </c>
      <c r="M56" s="34">
        <v>1</v>
      </c>
      <c r="N56" s="34">
        <v>1</v>
      </c>
      <c r="O56" s="34"/>
      <c r="Q56" s="8" t="s">
        <v>125</v>
      </c>
      <c r="R56" s="8" t="s">
        <v>129</v>
      </c>
      <c r="S56" s="8" t="s">
        <v>129</v>
      </c>
      <c r="T56" s="11" t="s">
        <v>129</v>
      </c>
      <c r="U56" s="11" t="s">
        <v>126</v>
      </c>
      <c r="V56" s="11" t="s">
        <v>129</v>
      </c>
      <c r="W56" s="11" t="s">
        <v>129</v>
      </c>
      <c r="X56" s="38" t="s">
        <v>470</v>
      </c>
      <c r="Y56" s="23" t="s">
        <v>126</v>
      </c>
      <c r="Z56" s="26" t="s">
        <v>129</v>
      </c>
      <c r="AA56" s="26" t="s">
        <v>1006</v>
      </c>
      <c r="AI56" s="42" t="s">
        <v>313</v>
      </c>
      <c r="AJ56" s="50" t="s">
        <v>313</v>
      </c>
      <c r="AK56" s="26" t="s">
        <v>126</v>
      </c>
      <c r="AL56" s="26" t="s">
        <v>126</v>
      </c>
      <c r="AP56" s="49">
        <v>1</v>
      </c>
      <c r="AQ56" s="36">
        <v>0.10416666666666667</v>
      </c>
      <c r="AR56" s="36">
        <v>0.20833333333333334</v>
      </c>
      <c r="AS56" s="34" t="s">
        <v>82</v>
      </c>
      <c r="AT56" s="34">
        <v>1</v>
      </c>
      <c r="AU56" s="34" t="s">
        <v>111</v>
      </c>
      <c r="AV56" s="34" t="s">
        <v>211</v>
      </c>
      <c r="AW56" s="34">
        <v>2</v>
      </c>
      <c r="AX56" s="34">
        <v>0</v>
      </c>
      <c r="AY56" s="34">
        <v>2</v>
      </c>
      <c r="AZ56" s="34">
        <v>2</v>
      </c>
      <c r="BA56" s="34"/>
      <c r="BB56" s="109" t="s">
        <v>129</v>
      </c>
      <c r="BC56" s="109" t="s">
        <v>129</v>
      </c>
      <c r="BF56" s="30" t="s">
        <v>768</v>
      </c>
      <c r="BG56" s="166" t="s">
        <v>787</v>
      </c>
      <c r="BQ56" s="183"/>
      <c r="BR56" s="183"/>
      <c r="BV56" s="183"/>
      <c r="BW56" s="183"/>
      <c r="BX56" s="71" t="s">
        <v>750</v>
      </c>
      <c r="BY56">
        <v>153</v>
      </c>
      <c r="BZ56" t="s">
        <v>547</v>
      </c>
      <c r="CA56">
        <v>5</v>
      </c>
      <c r="CC56" s="5">
        <v>44615</v>
      </c>
      <c r="CD56" t="s">
        <v>548</v>
      </c>
      <c r="CE56">
        <v>1</v>
      </c>
      <c r="CF56" s="56">
        <v>8.1250000000000003E-2</v>
      </c>
      <c r="CG56" s="56">
        <v>0.125</v>
      </c>
      <c r="CH56" t="s">
        <v>576</v>
      </c>
      <c r="CI56" s="56">
        <v>0.20833333333333334</v>
      </c>
      <c r="CJ56" t="s">
        <v>560</v>
      </c>
      <c r="CK56" s="118">
        <v>1</v>
      </c>
      <c r="CL56" t="s">
        <v>111</v>
      </c>
      <c r="CM56" t="s">
        <v>119</v>
      </c>
      <c r="CN56">
        <v>1</v>
      </c>
      <c r="CO56">
        <v>1</v>
      </c>
      <c r="CP56">
        <v>1</v>
      </c>
      <c r="CQ56">
        <v>1</v>
      </c>
      <c r="CS56" s="133" t="s">
        <v>129</v>
      </c>
      <c r="CT56" s="133" t="s">
        <v>129</v>
      </c>
      <c r="CU56" s="147"/>
      <c r="CX56" s="171" t="s">
        <v>768</v>
      </c>
      <c r="CY56" s="170" t="s">
        <v>849</v>
      </c>
      <c r="DB56" t="s">
        <v>958</v>
      </c>
      <c r="DC56" s="175">
        <v>0</v>
      </c>
      <c r="DD56" t="s">
        <v>959</v>
      </c>
      <c r="DE56" s="174">
        <f>100/261</f>
        <v>0.38314176245210729</v>
      </c>
      <c r="DF56" t="s">
        <v>1000</v>
      </c>
      <c r="DH56" t="s">
        <v>999</v>
      </c>
      <c r="DJ56" t="s">
        <v>1000</v>
      </c>
      <c r="DL56" t="s">
        <v>999</v>
      </c>
    </row>
    <row r="57" spans="1:117" x14ac:dyDescent="0.3">
      <c r="A57" s="64">
        <v>54</v>
      </c>
      <c r="B57" s="34" t="s">
        <v>274</v>
      </c>
      <c r="C57" s="34">
        <v>6</v>
      </c>
      <c r="D57" s="34"/>
      <c r="E57" s="35">
        <v>44336</v>
      </c>
      <c r="F57" s="35" t="s">
        <v>281</v>
      </c>
      <c r="G57" s="34">
        <v>308</v>
      </c>
      <c r="H57" s="82">
        <v>2</v>
      </c>
      <c r="I57" s="87" t="s">
        <v>201</v>
      </c>
      <c r="J57" s="34">
        <v>1</v>
      </c>
      <c r="K57" s="34">
        <v>0</v>
      </c>
      <c r="L57" s="34">
        <v>2</v>
      </c>
      <c r="M57" s="34">
        <v>1</v>
      </c>
      <c r="N57" s="34">
        <v>1</v>
      </c>
      <c r="O57" s="34" t="s">
        <v>294</v>
      </c>
      <c r="Q57" s="8" t="s">
        <v>125</v>
      </c>
      <c r="R57" s="8" t="s">
        <v>126</v>
      </c>
      <c r="S57" s="8" t="s">
        <v>129</v>
      </c>
      <c r="T57" s="11" t="s">
        <v>129</v>
      </c>
      <c r="U57" s="11" t="s">
        <v>126</v>
      </c>
      <c r="V57" s="11" t="s">
        <v>129</v>
      </c>
      <c r="W57" s="11" t="s">
        <v>126</v>
      </c>
      <c r="Y57" s="11" t="s">
        <v>129</v>
      </c>
      <c r="Z57" s="26" t="s">
        <v>299</v>
      </c>
      <c r="AA57" s="178">
        <v>1</v>
      </c>
      <c r="AB57" s="178" t="s">
        <v>1035</v>
      </c>
      <c r="AC57" s="43" t="s">
        <v>181</v>
      </c>
      <c r="AD57" s="52" t="s">
        <v>181</v>
      </c>
      <c r="AE57" s="43"/>
      <c r="AF57" s="52" t="s">
        <v>758</v>
      </c>
      <c r="AG57" s="43"/>
      <c r="AH57" s="52" t="s">
        <v>761</v>
      </c>
      <c r="AI57" s="43"/>
      <c r="AJ57" s="52"/>
      <c r="AK57" s="102" t="s">
        <v>129</v>
      </c>
      <c r="AL57" s="102" t="s">
        <v>129</v>
      </c>
      <c r="AM57" s="142"/>
      <c r="AN57" s="142"/>
      <c r="AO57" s="150"/>
      <c r="AP57" s="49">
        <v>1</v>
      </c>
      <c r="AQ57" s="41">
        <v>0.10416666666666667</v>
      </c>
      <c r="AR57" s="41">
        <v>0.20833333333333334</v>
      </c>
      <c r="AS57" s="34" t="s">
        <v>82</v>
      </c>
      <c r="AT57" s="34">
        <v>1</v>
      </c>
      <c r="AU57" s="34" t="s">
        <v>210</v>
      </c>
      <c r="AV57" s="34" t="s">
        <v>295</v>
      </c>
      <c r="AW57" s="34">
        <v>2</v>
      </c>
      <c r="AX57" s="34">
        <v>2</v>
      </c>
      <c r="AY57" s="34">
        <v>2</v>
      </c>
      <c r="AZ57" s="34">
        <v>2</v>
      </c>
      <c r="BA57" s="34" t="s">
        <v>296</v>
      </c>
      <c r="BB57" s="109" t="s">
        <v>129</v>
      </c>
      <c r="BC57" s="109" t="s">
        <v>129</v>
      </c>
      <c r="BF57" s="167" t="s">
        <v>788</v>
      </c>
      <c r="BG57" s="167" t="s">
        <v>789</v>
      </c>
      <c r="BI57" s="60" t="s">
        <v>357</v>
      </c>
      <c r="BL57" s="60" t="s">
        <v>357</v>
      </c>
      <c r="BO57" s="60" t="s">
        <v>357</v>
      </c>
      <c r="BQ57" s="128" t="s">
        <v>647</v>
      </c>
      <c r="BR57" s="128">
        <f>0/391</f>
        <v>0</v>
      </c>
      <c r="BT57" s="60" t="s">
        <v>357</v>
      </c>
      <c r="BV57" s="128" t="s">
        <v>648</v>
      </c>
      <c r="BW57" s="128">
        <f>0/685</f>
        <v>0</v>
      </c>
      <c r="BX57" s="71" t="s">
        <v>750</v>
      </c>
      <c r="BY57">
        <v>154</v>
      </c>
      <c r="BZ57" t="s">
        <v>552</v>
      </c>
      <c r="CA57">
        <v>6</v>
      </c>
      <c r="CC57" s="5">
        <v>44637</v>
      </c>
      <c r="CD57" t="s">
        <v>553</v>
      </c>
      <c r="CE57">
        <v>1</v>
      </c>
      <c r="CF57" s="56">
        <v>0.10416666666666667</v>
      </c>
      <c r="CG57" s="56">
        <v>0</v>
      </c>
      <c r="CH57" t="s">
        <v>583</v>
      </c>
      <c r="CI57" s="56">
        <v>0</v>
      </c>
      <c r="CJ57" t="s">
        <v>560</v>
      </c>
      <c r="CK57" s="118">
        <v>1</v>
      </c>
      <c r="CL57" t="s">
        <v>111</v>
      </c>
      <c r="CM57" s="56" t="s">
        <v>119</v>
      </c>
      <c r="CN57">
        <v>1</v>
      </c>
      <c r="CO57">
        <v>0</v>
      </c>
      <c r="CP57">
        <v>1</v>
      </c>
      <c r="CQ57">
        <v>0</v>
      </c>
      <c r="CR57" t="s">
        <v>595</v>
      </c>
      <c r="CS57" s="133" t="s">
        <v>129</v>
      </c>
      <c r="CT57" s="133" t="s">
        <v>129</v>
      </c>
      <c r="CU57" s="147"/>
      <c r="CX57" s="171" t="s">
        <v>768</v>
      </c>
      <c r="CY57" s="170" t="s">
        <v>850</v>
      </c>
      <c r="DB57" s="173"/>
      <c r="DC57" s="173"/>
      <c r="DD57" s="177" t="s">
        <v>424</v>
      </c>
      <c r="DE57" s="177"/>
      <c r="DF57" s="173"/>
      <c r="DG57" s="173"/>
      <c r="DH57" s="177" t="s">
        <v>424</v>
      </c>
      <c r="DI57" s="177"/>
      <c r="DJ57" s="173"/>
      <c r="DK57" s="173"/>
      <c r="DL57" s="177" t="s">
        <v>424</v>
      </c>
      <c r="DM57" s="177"/>
    </row>
    <row r="58" spans="1:117" x14ac:dyDescent="0.3">
      <c r="A58" s="64">
        <v>55</v>
      </c>
      <c r="B58" s="34" t="s">
        <v>282</v>
      </c>
      <c r="C58" s="34">
        <v>7</v>
      </c>
      <c r="D58" s="34"/>
      <c r="E58" s="35">
        <v>44337</v>
      </c>
      <c r="F58" s="34" t="s">
        <v>283</v>
      </c>
      <c r="G58" s="34">
        <v>306</v>
      </c>
      <c r="H58" s="98">
        <v>2</v>
      </c>
      <c r="I58" s="99" t="s">
        <v>200</v>
      </c>
      <c r="J58" s="34">
        <v>1</v>
      </c>
      <c r="K58" s="34" t="s">
        <v>237</v>
      </c>
      <c r="L58" s="34">
        <v>2</v>
      </c>
      <c r="M58" s="34">
        <v>1</v>
      </c>
      <c r="N58" s="34">
        <v>1</v>
      </c>
      <c r="O58" s="34"/>
      <c r="Q58" s="8" t="s">
        <v>125</v>
      </c>
      <c r="R58" s="8" t="s">
        <v>129</v>
      </c>
      <c r="S58" s="8" t="s">
        <v>129</v>
      </c>
      <c r="T58" s="11" t="s">
        <v>129</v>
      </c>
      <c r="U58" s="11" t="s">
        <v>126</v>
      </c>
      <c r="V58" s="11" t="s">
        <v>129</v>
      </c>
      <c r="W58" s="11" t="s">
        <v>126</v>
      </c>
      <c r="Y58" s="11" t="s">
        <v>129</v>
      </c>
      <c r="Z58" s="26" t="s">
        <v>126</v>
      </c>
      <c r="AA58" s="178">
        <v>1</v>
      </c>
      <c r="AB58" s="178" t="s">
        <v>1036</v>
      </c>
      <c r="AC58" s="43" t="s">
        <v>181</v>
      </c>
      <c r="AD58" s="52" t="s">
        <v>181</v>
      </c>
      <c r="AE58" s="43"/>
      <c r="AF58" s="52" t="s">
        <v>758</v>
      </c>
      <c r="AG58" s="43"/>
      <c r="AH58" s="52" t="s">
        <v>761</v>
      </c>
      <c r="AI58" s="43" t="s">
        <v>313</v>
      </c>
      <c r="AJ58" s="52" t="s">
        <v>313</v>
      </c>
      <c r="AK58" s="102" t="s">
        <v>129</v>
      </c>
      <c r="AL58" s="102" t="s">
        <v>129</v>
      </c>
      <c r="AM58" s="142"/>
      <c r="AN58" s="142"/>
      <c r="AO58" s="150"/>
      <c r="AP58" s="49">
        <v>1</v>
      </c>
      <c r="AQ58" s="41">
        <v>0.10416666666666667</v>
      </c>
      <c r="AR58" s="41">
        <v>0.20833333333333334</v>
      </c>
      <c r="AS58" s="34" t="s">
        <v>237</v>
      </c>
      <c r="AT58" s="34">
        <v>1</v>
      </c>
      <c r="AU58" s="34" t="s">
        <v>111</v>
      </c>
      <c r="AV58" s="34" t="s">
        <v>106</v>
      </c>
      <c r="AW58" s="34">
        <v>2</v>
      </c>
      <c r="AX58" s="34" t="s">
        <v>297</v>
      </c>
      <c r="AY58" s="34">
        <v>2</v>
      </c>
      <c r="AZ58" s="34">
        <v>2</v>
      </c>
      <c r="BA58" s="34"/>
      <c r="BB58" s="109" t="s">
        <v>129</v>
      </c>
      <c r="BC58" s="109" t="s">
        <v>129</v>
      </c>
      <c r="BF58" s="169" t="s">
        <v>768</v>
      </c>
      <c r="BG58" s="167" t="s">
        <v>790</v>
      </c>
      <c r="BJ58" s="60" t="s">
        <v>357</v>
      </c>
      <c r="BM58" s="60" t="s">
        <v>357</v>
      </c>
      <c r="BP58" s="60" t="s">
        <v>357</v>
      </c>
      <c r="BQ58" s="128" t="s">
        <v>649</v>
      </c>
      <c r="BR58" s="128">
        <f>0/419</f>
        <v>0</v>
      </c>
      <c r="BU58" s="60" t="s">
        <v>357</v>
      </c>
      <c r="BV58" s="128" t="s">
        <v>650</v>
      </c>
      <c r="BW58" s="128">
        <f>14/633</f>
        <v>2.2116903633491312E-2</v>
      </c>
      <c r="BX58" s="135"/>
      <c r="BY58" s="135"/>
      <c r="BZ58" s="135"/>
      <c r="CA58" s="135"/>
      <c r="CB58" s="135"/>
      <c r="CC58" s="135"/>
      <c r="CD58" s="135"/>
      <c r="CE58" s="135"/>
      <c r="CF58" s="135"/>
      <c r="CG58" s="135"/>
      <c r="CH58" s="135"/>
      <c r="CI58" s="135"/>
      <c r="CJ58" s="135"/>
      <c r="CK58" s="135"/>
      <c r="CL58" s="135"/>
      <c r="CM58" s="135"/>
      <c r="CN58" s="135"/>
      <c r="CO58" s="135"/>
      <c r="CP58" s="135"/>
      <c r="CQ58" s="135"/>
      <c r="CR58" s="135"/>
      <c r="CS58" s="135"/>
      <c r="CT58" s="135"/>
      <c r="CX58" s="171" t="s">
        <v>108</v>
      </c>
      <c r="CY58" s="170" t="s">
        <v>108</v>
      </c>
      <c r="DB58" s="135"/>
      <c r="DC58" s="135"/>
      <c r="DD58" s="135"/>
      <c r="DE58" s="135"/>
      <c r="DF58" s="135"/>
      <c r="DG58" s="135"/>
      <c r="DH58" s="135"/>
      <c r="DI58" s="135"/>
      <c r="DJ58" s="135"/>
      <c r="DK58" s="135"/>
      <c r="DL58" s="135"/>
      <c r="DM58" s="135"/>
    </row>
    <row r="59" spans="1:117" x14ac:dyDescent="0.3">
      <c r="A59" s="64">
        <v>56</v>
      </c>
      <c r="B59" s="34" t="s">
        <v>284</v>
      </c>
      <c r="C59" s="34">
        <v>8</v>
      </c>
      <c r="D59" s="34"/>
      <c r="E59" s="35">
        <v>44341</v>
      </c>
      <c r="F59" s="35" t="s">
        <v>25</v>
      </c>
      <c r="G59" s="34">
        <v>321</v>
      </c>
      <c r="H59" s="82">
        <v>1</v>
      </c>
      <c r="I59" s="16" t="s">
        <v>200</v>
      </c>
      <c r="J59" s="34">
        <v>1</v>
      </c>
      <c r="K59" s="34">
        <v>0</v>
      </c>
      <c r="L59" s="34">
        <v>1</v>
      </c>
      <c r="M59" s="34">
        <v>1</v>
      </c>
      <c r="N59" s="34">
        <v>1</v>
      </c>
      <c r="O59" s="34"/>
      <c r="Q59" s="8" t="s">
        <v>125</v>
      </c>
      <c r="R59" s="8" t="s">
        <v>129</v>
      </c>
      <c r="S59" s="8" t="s">
        <v>129</v>
      </c>
      <c r="T59" s="11" t="s">
        <v>129</v>
      </c>
      <c r="U59" s="11" t="s">
        <v>126</v>
      </c>
      <c r="V59" s="11" t="s">
        <v>129</v>
      </c>
      <c r="W59" s="11" t="s">
        <v>133</v>
      </c>
      <c r="X59" s="8" t="s">
        <v>300</v>
      </c>
      <c r="Y59" s="11" t="s">
        <v>129</v>
      </c>
      <c r="Z59" s="26" t="s">
        <v>126</v>
      </c>
      <c r="AA59" s="26" t="s">
        <v>1016</v>
      </c>
      <c r="AC59" s="43" t="s">
        <v>181</v>
      </c>
      <c r="AD59" s="52" t="s">
        <v>473</v>
      </c>
      <c r="AE59" s="43"/>
      <c r="AF59" s="52" t="s">
        <v>473</v>
      </c>
      <c r="AG59" s="43"/>
      <c r="AH59" s="52" t="s">
        <v>473</v>
      </c>
      <c r="AI59" s="43"/>
      <c r="AJ59" s="52"/>
      <c r="AK59" s="102" t="s">
        <v>129</v>
      </c>
      <c r="AL59" s="102" t="s">
        <v>129</v>
      </c>
      <c r="AP59" s="49">
        <v>1</v>
      </c>
      <c r="AQ59" s="41">
        <v>0.10416666666666667</v>
      </c>
      <c r="AR59" s="41">
        <v>0.20833333333333334</v>
      </c>
      <c r="AS59" s="34" t="s">
        <v>237</v>
      </c>
      <c r="AT59" s="34">
        <v>1</v>
      </c>
      <c r="AU59" s="34" t="s">
        <v>116</v>
      </c>
      <c r="AV59" s="34" t="s">
        <v>211</v>
      </c>
      <c r="AW59" s="34">
        <v>2</v>
      </c>
      <c r="AX59" s="34" t="s">
        <v>297</v>
      </c>
      <c r="AY59" s="34">
        <v>2</v>
      </c>
      <c r="AZ59" s="34">
        <v>2</v>
      </c>
      <c r="BA59" s="97" t="s">
        <v>298</v>
      </c>
      <c r="BB59" s="76" t="s">
        <v>431</v>
      </c>
      <c r="BC59" s="76" t="s">
        <v>430</v>
      </c>
      <c r="BF59" s="30" t="s">
        <v>768</v>
      </c>
      <c r="BG59" s="30" t="s">
        <v>768</v>
      </c>
      <c r="BJ59" s="60" t="s">
        <v>428</v>
      </c>
      <c r="BL59" s="60" t="s">
        <v>357</v>
      </c>
      <c r="BP59" s="60" t="s">
        <v>357</v>
      </c>
      <c r="BQ59" s="128" t="s">
        <v>641</v>
      </c>
      <c r="BR59" s="128">
        <f>0/417</f>
        <v>0</v>
      </c>
      <c r="BT59" s="60" t="s">
        <v>357</v>
      </c>
      <c r="BV59" s="128" t="s">
        <v>651</v>
      </c>
      <c r="BW59" s="128">
        <f>6/639</f>
        <v>9.3896713615023476E-3</v>
      </c>
      <c r="BX59" s="135"/>
      <c r="BY59" s="135"/>
      <c r="BZ59" s="135"/>
      <c r="CA59" s="135"/>
      <c r="CB59" s="135"/>
      <c r="CC59" s="135"/>
      <c r="CD59" s="135"/>
      <c r="CE59" s="135"/>
      <c r="CF59" s="135"/>
      <c r="CG59" s="135"/>
      <c r="CH59" s="135"/>
      <c r="CI59" s="135"/>
      <c r="CJ59" s="135"/>
      <c r="CK59" s="135"/>
      <c r="CL59" s="135"/>
      <c r="CM59" s="135"/>
      <c r="CN59" s="135"/>
      <c r="CO59" s="135"/>
      <c r="CP59" s="135"/>
      <c r="CQ59" s="135"/>
      <c r="CR59" s="135"/>
      <c r="CS59" s="135"/>
      <c r="CT59" s="135"/>
      <c r="CX59" s="171" t="s">
        <v>108</v>
      </c>
      <c r="DB59" s="135"/>
      <c r="DC59" s="135"/>
      <c r="DD59" s="135"/>
      <c r="DE59" s="135"/>
      <c r="DF59" s="135"/>
      <c r="DG59" s="135"/>
      <c r="DH59" s="135"/>
      <c r="DI59" s="135"/>
      <c r="DJ59" s="135"/>
      <c r="DK59" s="135"/>
      <c r="DL59" s="135"/>
      <c r="DM59" s="135"/>
    </row>
    <row r="60" spans="1:117" x14ac:dyDescent="0.3">
      <c r="A60" s="64">
        <v>57</v>
      </c>
      <c r="B60" s="34" t="s">
        <v>285</v>
      </c>
      <c r="C60" s="34">
        <v>1</v>
      </c>
      <c r="D60" s="34"/>
      <c r="E60" s="35">
        <v>44342</v>
      </c>
      <c r="F60" s="35" t="s">
        <v>19</v>
      </c>
      <c r="G60" s="34">
        <v>288</v>
      </c>
      <c r="H60" s="82">
        <v>1</v>
      </c>
      <c r="I60" s="16" t="s">
        <v>200</v>
      </c>
      <c r="J60" s="34">
        <v>1</v>
      </c>
      <c r="K60" s="34" t="s">
        <v>237</v>
      </c>
      <c r="L60" s="34">
        <v>2</v>
      </c>
      <c r="M60" s="34">
        <v>1</v>
      </c>
      <c r="N60" s="34">
        <v>1</v>
      </c>
      <c r="O60" s="34"/>
      <c r="Q60" s="8" t="s">
        <v>125</v>
      </c>
      <c r="R60" s="8" t="s">
        <v>129</v>
      </c>
      <c r="S60" s="8" t="s">
        <v>129</v>
      </c>
      <c r="T60" s="11" t="s">
        <v>129</v>
      </c>
      <c r="U60" s="11" t="s">
        <v>126</v>
      </c>
      <c r="V60" s="11" t="s">
        <v>129</v>
      </c>
      <c r="W60" s="11" t="s">
        <v>126</v>
      </c>
      <c r="Y60" s="11" t="s">
        <v>129</v>
      </c>
      <c r="Z60" s="26" t="s">
        <v>126</v>
      </c>
      <c r="AA60" s="178">
        <v>1</v>
      </c>
      <c r="AB60" s="178" t="s">
        <v>1037</v>
      </c>
      <c r="AC60" s="43" t="s">
        <v>181</v>
      </c>
      <c r="AD60" s="52" t="s">
        <v>181</v>
      </c>
      <c r="AE60" s="43"/>
      <c r="AF60" s="52" t="s">
        <v>758</v>
      </c>
      <c r="AG60" s="43"/>
      <c r="AH60" s="52" t="s">
        <v>761</v>
      </c>
      <c r="AI60" s="43" t="s">
        <v>313</v>
      </c>
      <c r="AJ60" s="52" t="s">
        <v>313</v>
      </c>
      <c r="AK60" s="102" t="s">
        <v>129</v>
      </c>
      <c r="AL60" s="102" t="s">
        <v>129</v>
      </c>
      <c r="AM60" s="142"/>
      <c r="AN60" s="142"/>
      <c r="AO60" s="150"/>
      <c r="AP60" s="49">
        <v>1</v>
      </c>
      <c r="AQ60" s="41">
        <v>8.3333333333333329E-2</v>
      </c>
      <c r="AR60" s="41">
        <v>0.20833333333333334</v>
      </c>
      <c r="AS60" s="34" t="s">
        <v>237</v>
      </c>
      <c r="AT60" s="34">
        <v>1</v>
      </c>
      <c r="AU60" s="34" t="s">
        <v>111</v>
      </c>
      <c r="AV60" s="34" t="s">
        <v>223</v>
      </c>
      <c r="AW60" s="34">
        <v>2</v>
      </c>
      <c r="AX60" s="34">
        <v>0</v>
      </c>
      <c r="AY60" s="34">
        <v>1</v>
      </c>
      <c r="AZ60" s="34">
        <v>2</v>
      </c>
      <c r="BA60" s="34"/>
      <c r="BB60" s="109" t="s">
        <v>129</v>
      </c>
      <c r="BC60" s="109" t="s">
        <v>129</v>
      </c>
      <c r="BF60" s="169" t="s">
        <v>768</v>
      </c>
      <c r="BG60" s="167" t="s">
        <v>791</v>
      </c>
      <c r="BI60" s="75" t="s">
        <v>426</v>
      </c>
      <c r="BL60" s="60" t="s">
        <v>357</v>
      </c>
      <c r="BO60" s="60" t="s">
        <v>357</v>
      </c>
      <c r="BQ60" s="128" t="s">
        <v>652</v>
      </c>
      <c r="BR60" s="128">
        <f>8/470</f>
        <v>1.7021276595744681E-2</v>
      </c>
      <c r="BT60" s="60" t="s">
        <v>357</v>
      </c>
      <c r="BV60" s="128" t="s">
        <v>604</v>
      </c>
      <c r="BW60" s="128">
        <f>7/633</f>
        <v>1.1058451816745656E-2</v>
      </c>
      <c r="BX60" s="137"/>
      <c r="BY60">
        <v>157</v>
      </c>
      <c r="BZ60" t="s">
        <v>554</v>
      </c>
      <c r="CA60">
        <v>1</v>
      </c>
      <c r="CC60" t="s">
        <v>555</v>
      </c>
      <c r="CD60" t="s">
        <v>556</v>
      </c>
      <c r="CE60">
        <v>1</v>
      </c>
      <c r="CF60" t="s">
        <v>596</v>
      </c>
      <c r="CG60" s="56">
        <v>0.125</v>
      </c>
      <c r="CH60" t="s">
        <v>572</v>
      </c>
      <c r="CI60" s="56">
        <v>0.20833333333333334</v>
      </c>
      <c r="CJ60" t="s">
        <v>560</v>
      </c>
      <c r="CK60" s="118">
        <v>1</v>
      </c>
      <c r="CL60" t="s">
        <v>210</v>
      </c>
      <c r="CM60" s="56" t="s">
        <v>577</v>
      </c>
      <c r="CN60">
        <v>2</v>
      </c>
      <c r="CO60">
        <v>1</v>
      </c>
      <c r="CP60">
        <v>2</v>
      </c>
      <c r="CQ60">
        <v>2</v>
      </c>
      <c r="CR60" t="s">
        <v>597</v>
      </c>
      <c r="CS60" s="133" t="s">
        <v>129</v>
      </c>
      <c r="CT60" s="133" t="s">
        <v>129</v>
      </c>
      <c r="CU60" s="147"/>
      <c r="CX60" s="170" t="s">
        <v>851</v>
      </c>
      <c r="CY60" s="170" t="s">
        <v>852</v>
      </c>
      <c r="DB60" t="s">
        <v>964</v>
      </c>
      <c r="DC60" s="175">
        <f>7/64</f>
        <v>0.109375</v>
      </c>
      <c r="DD60" t="s">
        <v>965</v>
      </c>
      <c r="DE60" s="175">
        <v>0</v>
      </c>
      <c r="DF60" t="s">
        <v>960</v>
      </c>
      <c r="DG60" s="175">
        <f>30/243</f>
        <v>0.12345679012345678</v>
      </c>
      <c r="DH60" t="s">
        <v>961</v>
      </c>
      <c r="DI60" s="175">
        <f>3/398</f>
        <v>7.537688442211055E-3</v>
      </c>
      <c r="DJ60" t="s">
        <v>962</v>
      </c>
      <c r="DK60" s="174">
        <f>114/404</f>
        <v>0.28217821782178215</v>
      </c>
      <c r="DL60" t="s">
        <v>963</v>
      </c>
      <c r="DM60" s="175">
        <f>3/595</f>
        <v>5.0420168067226894E-3</v>
      </c>
    </row>
    <row r="61" spans="1:117" x14ac:dyDescent="0.3">
      <c r="A61" s="61">
        <v>58</v>
      </c>
      <c r="B61" t="s">
        <v>315</v>
      </c>
      <c r="C61">
        <v>2</v>
      </c>
      <c r="E61" s="5">
        <v>44343</v>
      </c>
      <c r="F61" s="5" t="s">
        <v>325</v>
      </c>
      <c r="G61">
        <v>318</v>
      </c>
      <c r="H61" s="82">
        <v>1</v>
      </c>
      <c r="I61" s="16" t="s">
        <v>200</v>
      </c>
      <c r="J61">
        <v>1</v>
      </c>
      <c r="K61">
        <v>0</v>
      </c>
      <c r="L61">
        <v>2</v>
      </c>
      <c r="M61">
        <v>1</v>
      </c>
      <c r="N61">
        <v>1</v>
      </c>
      <c r="Q61" s="8" t="s">
        <v>125</v>
      </c>
      <c r="R61" s="8" t="s">
        <v>129</v>
      </c>
      <c r="S61" s="8" t="s">
        <v>129</v>
      </c>
      <c r="T61" s="11" t="s">
        <v>129</v>
      </c>
      <c r="U61" s="11" t="s">
        <v>126</v>
      </c>
      <c r="V61" s="11" t="s">
        <v>129</v>
      </c>
      <c r="W61" s="11" t="s">
        <v>126</v>
      </c>
      <c r="Y61" s="11" t="s">
        <v>129</v>
      </c>
      <c r="Z61" s="26" t="s">
        <v>126</v>
      </c>
      <c r="AA61" s="178">
        <v>1</v>
      </c>
      <c r="AB61" s="178" t="s">
        <v>1038</v>
      </c>
      <c r="AC61" s="43" t="s">
        <v>181</v>
      </c>
      <c r="AD61" s="52" t="s">
        <v>181</v>
      </c>
      <c r="AE61" s="43"/>
      <c r="AF61" s="52" t="s">
        <v>758</v>
      </c>
      <c r="AG61" s="43"/>
      <c r="AH61" s="52" t="s">
        <v>761</v>
      </c>
      <c r="AI61" s="43" t="s">
        <v>313</v>
      </c>
      <c r="AJ61" s="52" t="s">
        <v>313</v>
      </c>
      <c r="AK61" s="102" t="s">
        <v>129</v>
      </c>
      <c r="AL61" s="102" t="s">
        <v>129</v>
      </c>
      <c r="AM61" s="142"/>
      <c r="AN61" s="142"/>
      <c r="AO61" s="150"/>
      <c r="AP61">
        <v>1</v>
      </c>
      <c r="AQ61" s="56" t="s">
        <v>338</v>
      </c>
      <c r="AR61" s="56">
        <v>0.20833333333333334</v>
      </c>
      <c r="AS61" t="s">
        <v>237</v>
      </c>
      <c r="AT61">
        <v>1</v>
      </c>
      <c r="AU61" t="s">
        <v>292</v>
      </c>
      <c r="AV61" t="s">
        <v>106</v>
      </c>
      <c r="AW61">
        <v>0</v>
      </c>
      <c r="AX61">
        <v>0</v>
      </c>
      <c r="AY61">
        <v>2</v>
      </c>
      <c r="AZ61">
        <v>2</v>
      </c>
      <c r="BA61" t="s">
        <v>339</v>
      </c>
      <c r="BB61" s="33" t="s">
        <v>703</v>
      </c>
      <c r="BC61" s="33" t="s">
        <v>703</v>
      </c>
      <c r="BF61" s="169" t="s">
        <v>768</v>
      </c>
      <c r="BG61" s="167" t="s">
        <v>792</v>
      </c>
      <c r="BI61" s="60" t="s">
        <v>357</v>
      </c>
      <c r="BL61" s="60" t="s">
        <v>357</v>
      </c>
      <c r="BO61" s="60" t="s">
        <v>357</v>
      </c>
      <c r="BQ61" s="128" t="s">
        <v>654</v>
      </c>
      <c r="BR61" s="128">
        <f>23/444</f>
        <v>5.18018018018018E-2</v>
      </c>
      <c r="BT61" s="60" t="s">
        <v>357</v>
      </c>
      <c r="BV61" s="128" t="s">
        <v>655</v>
      </c>
      <c r="BW61" s="128">
        <f>14/613</f>
        <v>2.2838499184339316E-2</v>
      </c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X61" s="171" t="s">
        <v>108</v>
      </c>
      <c r="CY61" s="170" t="s">
        <v>108</v>
      </c>
      <c r="DB61" s="135"/>
      <c r="DC61" s="135"/>
      <c r="DD61" s="135"/>
      <c r="DE61" s="135"/>
      <c r="DF61" s="135"/>
      <c r="DG61" s="135"/>
      <c r="DH61" s="135"/>
      <c r="DI61" s="135"/>
      <c r="DJ61" s="135"/>
      <c r="DK61" s="135"/>
      <c r="DL61" s="135"/>
      <c r="DM61" s="135"/>
    </row>
    <row r="62" spans="1:117" x14ac:dyDescent="0.3">
      <c r="A62" s="61">
        <v>59</v>
      </c>
      <c r="B62" t="s">
        <v>316</v>
      </c>
      <c r="C62">
        <v>8</v>
      </c>
      <c r="E62" s="5">
        <v>44344</v>
      </c>
      <c r="F62" s="95" t="s">
        <v>464</v>
      </c>
      <c r="G62">
        <v>318</v>
      </c>
      <c r="H62" s="82">
        <v>2</v>
      </c>
      <c r="I62" s="87" t="s">
        <v>201</v>
      </c>
      <c r="J62">
        <v>1</v>
      </c>
      <c r="K62">
        <v>0</v>
      </c>
      <c r="L62">
        <v>2</v>
      </c>
      <c r="M62">
        <v>1</v>
      </c>
      <c r="N62">
        <v>1</v>
      </c>
      <c r="Q62" s="8" t="s">
        <v>125</v>
      </c>
      <c r="R62" s="8" t="s">
        <v>129</v>
      </c>
      <c r="S62" s="8" t="s">
        <v>129</v>
      </c>
      <c r="T62" s="11" t="s">
        <v>129</v>
      </c>
      <c r="U62" s="11" t="s">
        <v>126</v>
      </c>
      <c r="V62" s="11" t="s">
        <v>129</v>
      </c>
      <c r="W62" s="11" t="s">
        <v>126</v>
      </c>
      <c r="Y62" s="11" t="s">
        <v>129</v>
      </c>
      <c r="Z62" s="26" t="s">
        <v>126</v>
      </c>
      <c r="AA62" s="178">
        <v>1</v>
      </c>
      <c r="AB62" s="178" t="s">
        <v>1039</v>
      </c>
      <c r="AC62" s="107" t="s">
        <v>474</v>
      </c>
      <c r="AD62" s="107" t="s">
        <v>474</v>
      </c>
      <c r="AE62" s="43"/>
      <c r="AF62" s="52" t="s">
        <v>758</v>
      </c>
      <c r="AG62" s="43"/>
      <c r="AH62" s="52" t="s">
        <v>761</v>
      </c>
      <c r="AI62" s="43"/>
      <c r="AJ62" s="52"/>
      <c r="AK62" s="102" t="s">
        <v>129</v>
      </c>
      <c r="AL62" s="102" t="s">
        <v>129</v>
      </c>
      <c r="AM62" s="142"/>
      <c r="AN62" s="142"/>
      <c r="AO62" s="150"/>
      <c r="AP62">
        <v>1</v>
      </c>
      <c r="AQ62" s="56"/>
      <c r="AR62" s="56"/>
      <c r="AS62" t="s">
        <v>237</v>
      </c>
      <c r="AT62">
        <v>1</v>
      </c>
      <c r="AV62" t="s">
        <v>340</v>
      </c>
      <c r="AW62">
        <v>0</v>
      </c>
      <c r="AX62">
        <v>1</v>
      </c>
      <c r="AY62">
        <v>2</v>
      </c>
      <c r="AZ62">
        <v>2</v>
      </c>
      <c r="BB62" s="109" t="s">
        <v>129</v>
      </c>
      <c r="BC62" s="109" t="s">
        <v>129</v>
      </c>
      <c r="BF62" s="167" t="s">
        <v>788</v>
      </c>
      <c r="BG62" s="167" t="s">
        <v>792</v>
      </c>
      <c r="BI62" s="60" t="s">
        <v>357</v>
      </c>
      <c r="BL62" s="60" t="s">
        <v>357</v>
      </c>
      <c r="BP62" s="60" t="s">
        <v>357</v>
      </c>
      <c r="BQ62" s="128" t="s">
        <v>656</v>
      </c>
      <c r="BR62" s="128">
        <f>80/426</f>
        <v>0.18779342723004694</v>
      </c>
      <c r="BS62" s="120" t="s">
        <v>357</v>
      </c>
      <c r="BV62" s="128" t="s">
        <v>657</v>
      </c>
      <c r="BW62" s="128">
        <f>4/700</f>
        <v>5.7142857142857143E-3</v>
      </c>
      <c r="BX62" s="71" t="s">
        <v>750</v>
      </c>
      <c r="BY62">
        <v>159</v>
      </c>
      <c r="BZ62" t="s">
        <v>543</v>
      </c>
      <c r="CA62">
        <v>8</v>
      </c>
      <c r="CB62" t="s">
        <v>544</v>
      </c>
      <c r="CC62" s="5">
        <v>44601</v>
      </c>
      <c r="CE62">
        <v>1</v>
      </c>
      <c r="CF62" t="s">
        <v>592</v>
      </c>
      <c r="CG62" s="56">
        <v>0.125</v>
      </c>
      <c r="CH62" t="s">
        <v>583</v>
      </c>
      <c r="CI62" s="56">
        <v>0.20833333333333334</v>
      </c>
      <c r="CJ62" t="s">
        <v>560</v>
      </c>
      <c r="CK62" s="118">
        <v>1</v>
      </c>
      <c r="CL62" t="s">
        <v>126</v>
      </c>
      <c r="CM62" s="56" t="s">
        <v>126</v>
      </c>
      <c r="CN62" t="s">
        <v>126</v>
      </c>
      <c r="CO62" t="s">
        <v>126</v>
      </c>
      <c r="CP62" t="s">
        <v>126</v>
      </c>
      <c r="CQ62" t="s">
        <v>126</v>
      </c>
      <c r="CR62" t="s">
        <v>136</v>
      </c>
      <c r="CS62" t="s">
        <v>126</v>
      </c>
      <c r="CT62" t="s">
        <v>126</v>
      </c>
      <c r="CX62" s="171" t="s">
        <v>108</v>
      </c>
      <c r="CY62" s="170" t="s">
        <v>108</v>
      </c>
      <c r="DB62" s="218" t="s">
        <v>1002</v>
      </c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</row>
    <row r="63" spans="1:117" x14ac:dyDescent="0.3">
      <c r="A63" s="61">
        <v>60</v>
      </c>
      <c r="B63" t="s">
        <v>317</v>
      </c>
      <c r="C63">
        <v>4</v>
      </c>
      <c r="E63" s="5">
        <v>44348</v>
      </c>
      <c r="F63" s="5" t="s">
        <v>326</v>
      </c>
      <c r="G63">
        <v>315</v>
      </c>
      <c r="H63" s="82">
        <v>1</v>
      </c>
      <c r="I63" s="16" t="s">
        <v>200</v>
      </c>
      <c r="J63">
        <v>1</v>
      </c>
      <c r="K63" t="s">
        <v>255</v>
      </c>
      <c r="L63">
        <v>2</v>
      </c>
      <c r="M63">
        <v>1</v>
      </c>
      <c r="N63">
        <v>1</v>
      </c>
      <c r="Q63" s="8" t="s">
        <v>125</v>
      </c>
      <c r="R63" s="8" t="s">
        <v>129</v>
      </c>
      <c r="S63" s="8" t="s">
        <v>129</v>
      </c>
      <c r="T63" s="11" t="s">
        <v>129</v>
      </c>
      <c r="U63" s="11" t="s">
        <v>126</v>
      </c>
      <c r="V63" s="11" t="s">
        <v>129</v>
      </c>
      <c r="W63" s="11" t="s">
        <v>126</v>
      </c>
      <c r="Y63" s="11" t="s">
        <v>129</v>
      </c>
      <c r="Z63" s="26" t="s">
        <v>126</v>
      </c>
      <c r="AA63" s="178">
        <v>1</v>
      </c>
      <c r="AB63" s="178" t="s">
        <v>1040</v>
      </c>
      <c r="AC63" s="107" t="s">
        <v>474</v>
      </c>
      <c r="AD63" s="107" t="s">
        <v>474</v>
      </c>
      <c r="AE63" s="43"/>
      <c r="AF63" s="52" t="s">
        <v>758</v>
      </c>
      <c r="AG63" s="43"/>
      <c r="AH63" s="52" t="s">
        <v>761</v>
      </c>
      <c r="AI63" s="43"/>
      <c r="AJ63" s="52"/>
      <c r="AK63" s="102" t="s">
        <v>126</v>
      </c>
      <c r="AL63" s="102" t="s">
        <v>129</v>
      </c>
      <c r="AM63" s="142"/>
      <c r="AN63" s="142"/>
      <c r="AO63" s="150"/>
      <c r="AP63">
        <v>1</v>
      </c>
      <c r="AQ63" s="56">
        <v>0.10416666666666667</v>
      </c>
      <c r="AR63" s="56">
        <v>0.20833333333333334</v>
      </c>
      <c r="AS63" t="s">
        <v>237</v>
      </c>
      <c r="AT63">
        <v>1</v>
      </c>
      <c r="AU63" t="s">
        <v>116</v>
      </c>
      <c r="AV63" t="s">
        <v>223</v>
      </c>
      <c r="AW63">
        <v>2</v>
      </c>
      <c r="AX63">
        <v>0</v>
      </c>
      <c r="AY63">
        <v>2</v>
      </c>
      <c r="AZ63">
        <v>2</v>
      </c>
      <c r="BB63" s="109" t="s">
        <v>763</v>
      </c>
      <c r="BC63" s="109" t="s">
        <v>764</v>
      </c>
      <c r="BF63" s="169" t="s">
        <v>768</v>
      </c>
      <c r="BG63" s="167" t="s">
        <v>788</v>
      </c>
      <c r="BH63" s="40" t="s">
        <v>273</v>
      </c>
      <c r="BI63" t="s">
        <v>273</v>
      </c>
      <c r="BJ63" t="s">
        <v>273</v>
      </c>
      <c r="BL63" s="60" t="s">
        <v>357</v>
      </c>
      <c r="BP63" s="60" t="s">
        <v>357</v>
      </c>
      <c r="BQ63" s="128" t="s">
        <v>658</v>
      </c>
      <c r="BR63" s="128">
        <f>18/407</f>
        <v>4.4226044226044224E-2</v>
      </c>
      <c r="BT63" s="60" t="s">
        <v>357</v>
      </c>
      <c r="BV63" s="128" t="s">
        <v>659</v>
      </c>
      <c r="BW63" s="128">
        <f>2/684</f>
        <v>2.9239766081871343E-3</v>
      </c>
      <c r="BX63" s="135"/>
      <c r="BY63" s="135"/>
      <c r="BZ63" s="135"/>
      <c r="CA63" s="135"/>
      <c r="CB63" s="135"/>
      <c r="CC63" s="135"/>
      <c r="CD63" s="135"/>
      <c r="CE63" s="135"/>
      <c r="CF63" s="135"/>
      <c r="CG63" s="135"/>
      <c r="CH63" s="135"/>
      <c r="CI63" s="135"/>
      <c r="CJ63" s="135"/>
      <c r="CK63" s="135"/>
      <c r="CL63" s="135"/>
      <c r="CM63" s="135"/>
      <c r="CN63" s="135"/>
      <c r="CO63" s="135"/>
      <c r="CP63" s="135"/>
      <c r="CQ63" s="135"/>
      <c r="CR63" s="135"/>
      <c r="CS63" s="135"/>
      <c r="CT63" s="135"/>
      <c r="CX63" s="171" t="s">
        <v>108</v>
      </c>
      <c r="CY63" s="170" t="s">
        <v>108</v>
      </c>
      <c r="DB63" s="135"/>
      <c r="DC63" s="135"/>
      <c r="DD63" s="135"/>
      <c r="DE63" s="135"/>
      <c r="DF63" s="135"/>
      <c r="DG63" s="135"/>
      <c r="DH63" s="135"/>
      <c r="DI63" s="135"/>
      <c r="DJ63" s="135"/>
      <c r="DK63" s="135"/>
      <c r="DL63" s="135"/>
      <c r="DM63" s="135"/>
    </row>
    <row r="64" spans="1:117" x14ac:dyDescent="0.3">
      <c r="A64" s="61">
        <v>61</v>
      </c>
      <c r="B64" t="s">
        <v>318</v>
      </c>
      <c r="C64">
        <v>5</v>
      </c>
      <c r="E64" s="5">
        <v>44349</v>
      </c>
      <c r="F64" s="5" t="s">
        <v>327</v>
      </c>
      <c r="G64">
        <v>309</v>
      </c>
      <c r="H64" s="82">
        <v>2</v>
      </c>
      <c r="I64" s="87" t="s">
        <v>201</v>
      </c>
      <c r="J64">
        <v>1</v>
      </c>
      <c r="K64" t="s">
        <v>255</v>
      </c>
      <c r="L64">
        <v>2</v>
      </c>
      <c r="M64">
        <v>1</v>
      </c>
      <c r="N64">
        <v>1</v>
      </c>
      <c r="Q64" s="8" t="s">
        <v>125</v>
      </c>
      <c r="R64" s="8" t="s">
        <v>129</v>
      </c>
      <c r="S64" s="8" t="s">
        <v>129</v>
      </c>
      <c r="T64" s="11" t="s">
        <v>129</v>
      </c>
      <c r="U64" s="11" t="s">
        <v>126</v>
      </c>
      <c r="V64" s="11" t="s">
        <v>129</v>
      </c>
      <c r="W64" s="11" t="s">
        <v>126</v>
      </c>
      <c r="Y64" s="11" t="s">
        <v>129</v>
      </c>
      <c r="Z64" s="26" t="s">
        <v>126</v>
      </c>
      <c r="AA64" s="178">
        <v>1</v>
      </c>
      <c r="AB64" s="178" t="s">
        <v>1041</v>
      </c>
      <c r="AC64" s="107" t="s">
        <v>474</v>
      </c>
      <c r="AD64" s="107" t="s">
        <v>474</v>
      </c>
      <c r="AE64" s="43"/>
      <c r="AF64" s="52" t="s">
        <v>758</v>
      </c>
      <c r="AG64" s="43"/>
      <c r="AH64" s="52" t="s">
        <v>761</v>
      </c>
      <c r="AI64" s="43"/>
      <c r="AJ64" s="52"/>
      <c r="AK64" s="102" t="s">
        <v>129</v>
      </c>
      <c r="AL64" s="102" t="s">
        <v>129</v>
      </c>
      <c r="AM64" s="142"/>
      <c r="AN64" s="142"/>
      <c r="AO64" s="150"/>
      <c r="AP64">
        <v>1</v>
      </c>
      <c r="AQ64" s="56">
        <v>0.10416666666666667</v>
      </c>
      <c r="AR64" s="56">
        <v>0.20833333333333334</v>
      </c>
      <c r="AS64" t="s">
        <v>237</v>
      </c>
      <c r="AT64">
        <v>1</v>
      </c>
      <c r="AU64" t="s">
        <v>116</v>
      </c>
      <c r="AV64" t="s">
        <v>119</v>
      </c>
      <c r="AW64">
        <v>2</v>
      </c>
      <c r="AX64">
        <v>0</v>
      </c>
      <c r="AY64">
        <v>2</v>
      </c>
      <c r="AZ64">
        <v>2</v>
      </c>
      <c r="BA64" t="s">
        <v>341</v>
      </c>
      <c r="BB64" s="33" t="s">
        <v>701</v>
      </c>
      <c r="BC64" s="33" t="s">
        <v>701</v>
      </c>
      <c r="BF64" s="167" t="s">
        <v>793</v>
      </c>
      <c r="BG64" s="167" t="s">
        <v>794</v>
      </c>
      <c r="BI64" s="60" t="s">
        <v>357</v>
      </c>
      <c r="BL64" s="60" t="s">
        <v>357</v>
      </c>
      <c r="BO64" s="60" t="s">
        <v>357</v>
      </c>
      <c r="BQ64" s="128" t="s">
        <v>660</v>
      </c>
      <c r="BR64" s="128">
        <f>11/355</f>
        <v>3.0985915492957747E-2</v>
      </c>
      <c r="BT64" s="60" t="s">
        <v>357</v>
      </c>
      <c r="BV64" s="128" t="s">
        <v>661</v>
      </c>
      <c r="BW64" s="128">
        <f>0/717</f>
        <v>0</v>
      </c>
      <c r="BX64" s="135"/>
      <c r="BY64" s="135"/>
      <c r="BZ64" s="135"/>
      <c r="CA64" s="135"/>
      <c r="CB64" s="135"/>
      <c r="CC64" s="135"/>
      <c r="CD64" s="135"/>
      <c r="CE64" s="135"/>
      <c r="CF64" s="135"/>
      <c r="CG64" s="135"/>
      <c r="CH64" s="135"/>
      <c r="CI64" s="135"/>
      <c r="CJ64" s="135"/>
      <c r="CK64" s="135"/>
      <c r="CL64" s="135"/>
      <c r="CM64" s="135"/>
      <c r="CN64" s="135"/>
      <c r="CO64" s="135"/>
      <c r="CP64" s="135"/>
      <c r="CQ64" s="135"/>
      <c r="CR64" s="135"/>
      <c r="CS64" s="135"/>
      <c r="CT64" s="135"/>
      <c r="CX64" s="171" t="s">
        <v>108</v>
      </c>
      <c r="CY64" s="170" t="s">
        <v>108</v>
      </c>
      <c r="DB64" s="135"/>
      <c r="DC64" s="135"/>
      <c r="DD64" s="135"/>
      <c r="DE64" s="135"/>
      <c r="DF64" s="135"/>
      <c r="DG64" s="135"/>
      <c r="DH64" s="135"/>
      <c r="DI64" s="135"/>
      <c r="DJ64" s="135"/>
      <c r="DK64" s="135"/>
      <c r="DL64" s="135"/>
      <c r="DM64" s="135"/>
    </row>
    <row r="65" spans="1:117" x14ac:dyDescent="0.3">
      <c r="A65" s="61">
        <v>62</v>
      </c>
      <c r="B65" t="s">
        <v>277</v>
      </c>
      <c r="C65">
        <v>6</v>
      </c>
      <c r="E65" s="5">
        <v>44349</v>
      </c>
      <c r="F65" s="5" t="s">
        <v>328</v>
      </c>
      <c r="G65">
        <v>276</v>
      </c>
      <c r="H65" s="82">
        <v>2</v>
      </c>
      <c r="I65" s="87" t="s">
        <v>201</v>
      </c>
      <c r="J65">
        <v>1</v>
      </c>
      <c r="K65">
        <v>0</v>
      </c>
      <c r="L65">
        <v>2</v>
      </c>
      <c r="M65">
        <v>1</v>
      </c>
      <c r="N65">
        <v>1</v>
      </c>
      <c r="Q65" s="8" t="s">
        <v>125</v>
      </c>
      <c r="R65" s="8" t="s">
        <v>129</v>
      </c>
      <c r="S65" s="8" t="s">
        <v>129</v>
      </c>
      <c r="T65" s="11" t="s">
        <v>129</v>
      </c>
      <c r="U65" s="11" t="s">
        <v>126</v>
      </c>
      <c r="V65" s="11" t="s">
        <v>129</v>
      </c>
      <c r="W65" s="11" t="s">
        <v>126</v>
      </c>
      <c r="X65" s="8" t="s">
        <v>349</v>
      </c>
      <c r="Y65" s="11" t="s">
        <v>129</v>
      </c>
      <c r="Z65" s="26" t="s">
        <v>126</v>
      </c>
      <c r="AA65" s="178">
        <v>1</v>
      </c>
      <c r="AB65" s="178" t="s">
        <v>1042</v>
      </c>
      <c r="AC65" s="107" t="s">
        <v>474</v>
      </c>
      <c r="AD65" s="107" t="s">
        <v>474</v>
      </c>
      <c r="AE65" s="43"/>
      <c r="AF65" s="52" t="s">
        <v>758</v>
      </c>
      <c r="AG65" s="43"/>
      <c r="AH65" s="52" t="s">
        <v>761</v>
      </c>
      <c r="AI65" s="43"/>
      <c r="AJ65" s="52"/>
      <c r="AK65" s="102" t="s">
        <v>129</v>
      </c>
      <c r="AL65" s="102" t="s">
        <v>129</v>
      </c>
      <c r="AM65" s="142"/>
      <c r="AN65" s="142"/>
      <c r="AO65" s="150"/>
      <c r="AP65">
        <v>1</v>
      </c>
      <c r="AQ65" s="56">
        <v>0.10416666666666667</v>
      </c>
      <c r="AR65" s="56">
        <v>0.20833333333333334</v>
      </c>
      <c r="AS65" t="s">
        <v>237</v>
      </c>
      <c r="AT65">
        <v>1</v>
      </c>
      <c r="AU65" t="s">
        <v>105</v>
      </c>
      <c r="AV65" t="s">
        <v>340</v>
      </c>
      <c r="AW65">
        <v>2</v>
      </c>
      <c r="AX65">
        <v>1</v>
      </c>
      <c r="AY65">
        <v>2</v>
      </c>
      <c r="AZ65">
        <v>2</v>
      </c>
      <c r="BB65" s="109" t="s">
        <v>129</v>
      </c>
      <c r="BC65" s="109" t="s">
        <v>129</v>
      </c>
      <c r="BF65" s="169" t="s">
        <v>768</v>
      </c>
      <c r="BG65" s="167" t="s">
        <v>788</v>
      </c>
      <c r="BI65" s="60" t="s">
        <v>357</v>
      </c>
      <c r="BM65" s="60" t="s">
        <v>357</v>
      </c>
      <c r="BO65" s="60" t="s">
        <v>357</v>
      </c>
      <c r="BQ65" s="128" t="s">
        <v>662</v>
      </c>
      <c r="BR65" s="128">
        <f>3/437</f>
        <v>6.8649885583524023E-3</v>
      </c>
      <c r="BU65" s="60" t="s">
        <v>357</v>
      </c>
      <c r="BV65" s="128" t="s">
        <v>663</v>
      </c>
      <c r="BW65" s="128">
        <f>0/761</f>
        <v>0</v>
      </c>
      <c r="BX65" s="71" t="s">
        <v>750</v>
      </c>
      <c r="BY65">
        <v>162</v>
      </c>
      <c r="BZ65" t="s">
        <v>551</v>
      </c>
      <c r="CA65">
        <v>6</v>
      </c>
      <c r="CC65" s="5">
        <v>44627</v>
      </c>
      <c r="CE65">
        <v>1</v>
      </c>
      <c r="CF65" s="56">
        <v>9.375E-2</v>
      </c>
      <c r="CG65" s="56">
        <v>4.027777777777778E-2</v>
      </c>
      <c r="CH65" t="s">
        <v>576</v>
      </c>
      <c r="CI65" t="s">
        <v>569</v>
      </c>
      <c r="CJ65" t="s">
        <v>560</v>
      </c>
      <c r="CK65" s="118">
        <v>1</v>
      </c>
      <c r="CL65" t="s">
        <v>116</v>
      </c>
      <c r="CM65" s="56" t="s">
        <v>119</v>
      </c>
      <c r="CN65">
        <v>1</v>
      </c>
      <c r="CO65">
        <v>1</v>
      </c>
      <c r="CP65">
        <v>1</v>
      </c>
      <c r="CQ65">
        <v>1</v>
      </c>
      <c r="CS65" s="133" t="s">
        <v>129</v>
      </c>
      <c r="CT65" s="133" t="s">
        <v>129</v>
      </c>
      <c r="CU65" s="147"/>
      <c r="CX65" s="170" t="s">
        <v>788</v>
      </c>
      <c r="CY65" s="170" t="s">
        <v>788</v>
      </c>
      <c r="DB65" t="s">
        <v>966</v>
      </c>
      <c r="DC65" s="175">
        <v>0</v>
      </c>
      <c r="DD65" t="s">
        <v>967</v>
      </c>
      <c r="DE65" s="174">
        <f>73/346</f>
        <v>0.21098265895953758</v>
      </c>
      <c r="DF65" t="s">
        <v>1000</v>
      </c>
      <c r="DH65" t="s">
        <v>999</v>
      </c>
      <c r="DJ65" t="s">
        <v>424</v>
      </c>
      <c r="DL65" t="s">
        <v>424</v>
      </c>
    </row>
    <row r="66" spans="1:117" x14ac:dyDescent="0.3">
      <c r="A66" s="61">
        <v>63</v>
      </c>
      <c r="B66" t="s">
        <v>319</v>
      </c>
      <c r="C66">
        <v>7</v>
      </c>
      <c r="E66" s="5">
        <v>44351</v>
      </c>
      <c r="F66" s="5" t="s">
        <v>253</v>
      </c>
      <c r="G66">
        <v>313</v>
      </c>
      <c r="H66" s="82">
        <v>2</v>
      </c>
      <c r="I66" s="87" t="s">
        <v>201</v>
      </c>
      <c r="J66">
        <v>1</v>
      </c>
      <c r="K66">
        <v>0</v>
      </c>
      <c r="L66">
        <v>2</v>
      </c>
      <c r="M66">
        <v>1</v>
      </c>
      <c r="N66" s="58" t="s">
        <v>350</v>
      </c>
      <c r="O66" t="s">
        <v>333</v>
      </c>
      <c r="P66" s="8" t="s">
        <v>245</v>
      </c>
      <c r="Q66" s="8" t="s">
        <v>125</v>
      </c>
      <c r="R66" s="8" t="s">
        <v>129</v>
      </c>
      <c r="S66" s="8" t="s">
        <v>129</v>
      </c>
      <c r="T66" s="11" t="s">
        <v>129</v>
      </c>
      <c r="U66" s="11" t="s">
        <v>126</v>
      </c>
      <c r="V66" s="11" t="s">
        <v>129</v>
      </c>
      <c r="W66" s="11" t="s">
        <v>126</v>
      </c>
      <c r="Y66" s="11" t="s">
        <v>129</v>
      </c>
      <c r="Z66" s="26" t="s">
        <v>126</v>
      </c>
      <c r="AA66" s="26" t="s">
        <v>1009</v>
      </c>
      <c r="AC66" s="43" t="s">
        <v>467</v>
      </c>
      <c r="AD66" s="43" t="s">
        <v>467</v>
      </c>
      <c r="AE66" s="43"/>
      <c r="AF66" s="52" t="s">
        <v>758</v>
      </c>
      <c r="AG66" s="43"/>
      <c r="AH66" s="52" t="s">
        <v>761</v>
      </c>
      <c r="AI66" s="43"/>
      <c r="AJ66" s="52"/>
      <c r="AK66" s="102" t="s">
        <v>129</v>
      </c>
      <c r="AL66" s="145" t="s">
        <v>129</v>
      </c>
      <c r="AP66">
        <v>1</v>
      </c>
      <c r="AQ66" s="56" t="s">
        <v>342</v>
      </c>
      <c r="AR66" s="56">
        <v>0.20833333333333334</v>
      </c>
      <c r="AS66" t="s">
        <v>343</v>
      </c>
      <c r="AT66">
        <v>1</v>
      </c>
      <c r="AU66" t="s">
        <v>105</v>
      </c>
      <c r="AV66" t="s">
        <v>211</v>
      </c>
      <c r="AW66">
        <v>2</v>
      </c>
      <c r="AX66" t="s">
        <v>297</v>
      </c>
      <c r="AY66">
        <v>2</v>
      </c>
      <c r="AZ66">
        <v>2</v>
      </c>
      <c r="BA66" t="s">
        <v>344</v>
      </c>
      <c r="BB66" s="109" t="s">
        <v>129</v>
      </c>
      <c r="BC66" s="109" t="s">
        <v>129</v>
      </c>
      <c r="BF66" s="169" t="s">
        <v>768</v>
      </c>
      <c r="BG66" s="167" t="s">
        <v>795</v>
      </c>
      <c r="BJ66" s="60" t="s">
        <v>357</v>
      </c>
      <c r="BM66" s="60" t="s">
        <v>357</v>
      </c>
      <c r="BN66" s="40" t="s">
        <v>433</v>
      </c>
      <c r="BO66" s="60" t="s">
        <v>357</v>
      </c>
      <c r="BP66" t="s">
        <v>433</v>
      </c>
      <c r="BQ66" s="127" t="s">
        <v>664</v>
      </c>
      <c r="BR66" s="127">
        <f>184/441</f>
        <v>0.41723356009070295</v>
      </c>
      <c r="BU66" s="60" t="s">
        <v>357</v>
      </c>
      <c r="BV66" s="126" t="s">
        <v>665</v>
      </c>
      <c r="BW66" s="126">
        <f>111/707</f>
        <v>0.15700141442715701</v>
      </c>
      <c r="BX66" s="71" t="s">
        <v>750</v>
      </c>
      <c r="BY66">
        <v>163</v>
      </c>
      <c r="BZ66" t="s">
        <v>545</v>
      </c>
      <c r="CA66">
        <v>7</v>
      </c>
      <c r="CC66" s="5">
        <v>44614</v>
      </c>
      <c r="CD66" t="s">
        <v>546</v>
      </c>
      <c r="CE66">
        <v>1</v>
      </c>
      <c r="CF66" s="56">
        <v>0.10416666666666667</v>
      </c>
      <c r="CG66" s="56">
        <v>0.125</v>
      </c>
      <c r="CH66" t="s">
        <v>583</v>
      </c>
      <c r="CI66" s="56">
        <v>0.20833333333333334</v>
      </c>
      <c r="CJ66" t="s">
        <v>560</v>
      </c>
      <c r="CK66" s="118">
        <v>1</v>
      </c>
      <c r="CL66" t="s">
        <v>210</v>
      </c>
      <c r="CM66" s="56" t="s">
        <v>155</v>
      </c>
      <c r="CN66">
        <v>2</v>
      </c>
      <c r="CO66">
        <v>2</v>
      </c>
      <c r="CP66">
        <v>0</v>
      </c>
      <c r="CQ66">
        <v>0</v>
      </c>
      <c r="CR66" t="s">
        <v>593</v>
      </c>
      <c r="CS66" s="133" t="s">
        <v>129</v>
      </c>
      <c r="CT66" s="133" t="s">
        <v>129</v>
      </c>
      <c r="CU66" s="147"/>
      <c r="CX66" s="171" t="s">
        <v>108</v>
      </c>
      <c r="CY66" s="170" t="s">
        <v>108</v>
      </c>
      <c r="DB66" s="218" t="s">
        <v>1002</v>
      </c>
      <c r="DC66" s="218"/>
      <c r="DD66" s="218"/>
      <c r="DE66" s="218"/>
      <c r="DF66" s="218"/>
      <c r="DG66" s="218"/>
      <c r="DH66" s="218"/>
      <c r="DI66" s="218"/>
      <c r="DJ66" s="218"/>
      <c r="DK66" s="218"/>
      <c r="DL66" s="218"/>
      <c r="DM66" s="218"/>
    </row>
    <row r="67" spans="1:117" x14ac:dyDescent="0.3">
      <c r="A67" s="61">
        <v>64</v>
      </c>
      <c r="B67" t="s">
        <v>320</v>
      </c>
      <c r="C67">
        <v>8</v>
      </c>
      <c r="E67" s="5">
        <v>44356</v>
      </c>
      <c r="F67" t="s">
        <v>329</v>
      </c>
      <c r="G67">
        <v>319</v>
      </c>
      <c r="H67" s="82">
        <v>2</v>
      </c>
      <c r="I67" s="87" t="s">
        <v>201</v>
      </c>
      <c r="J67">
        <v>1</v>
      </c>
      <c r="K67">
        <v>0</v>
      </c>
      <c r="L67">
        <v>2</v>
      </c>
      <c r="M67">
        <v>1</v>
      </c>
      <c r="N67">
        <v>1</v>
      </c>
      <c r="O67" t="s">
        <v>334</v>
      </c>
      <c r="P67" s="8" t="s">
        <v>351</v>
      </c>
      <c r="Q67" s="8" t="s">
        <v>125</v>
      </c>
      <c r="R67" s="8" t="s">
        <v>129</v>
      </c>
      <c r="S67" s="8" t="s">
        <v>129</v>
      </c>
      <c r="T67" s="11" t="s">
        <v>129</v>
      </c>
      <c r="U67" s="11" t="s">
        <v>126</v>
      </c>
      <c r="V67" s="11" t="s">
        <v>129</v>
      </c>
      <c r="W67" s="11" t="s">
        <v>126</v>
      </c>
      <c r="X67" s="8" t="s">
        <v>352</v>
      </c>
      <c r="Y67" s="11" t="s">
        <v>129</v>
      </c>
      <c r="Z67" s="26" t="s">
        <v>126</v>
      </c>
      <c r="AA67" s="178">
        <v>1</v>
      </c>
      <c r="AB67" s="178" t="s">
        <v>1039</v>
      </c>
      <c r="AC67" s="43" t="s">
        <v>467</v>
      </c>
      <c r="AD67" s="43" t="s">
        <v>467</v>
      </c>
      <c r="AE67" s="43"/>
      <c r="AF67" s="52" t="s">
        <v>758</v>
      </c>
      <c r="AG67" s="43"/>
      <c r="AH67" s="52" t="s">
        <v>761</v>
      </c>
      <c r="AI67" s="43"/>
      <c r="AJ67" s="52"/>
      <c r="AK67" s="102" t="s">
        <v>129</v>
      </c>
      <c r="AL67" s="102" t="s">
        <v>129</v>
      </c>
      <c r="AM67" s="142"/>
      <c r="AN67" s="142"/>
      <c r="AO67" s="150"/>
      <c r="AP67">
        <v>1</v>
      </c>
      <c r="AQ67" s="56">
        <v>0.10416666666666667</v>
      </c>
      <c r="AR67" s="56">
        <v>0.20833333333333334</v>
      </c>
      <c r="AS67" t="s">
        <v>237</v>
      </c>
      <c r="AT67">
        <v>1</v>
      </c>
      <c r="AU67" t="s">
        <v>210</v>
      </c>
      <c r="AV67" t="s">
        <v>106</v>
      </c>
      <c r="AW67">
        <v>2</v>
      </c>
      <c r="AX67">
        <v>1</v>
      </c>
      <c r="AY67">
        <v>1</v>
      </c>
      <c r="AZ67">
        <v>1</v>
      </c>
      <c r="BB67" s="109" t="s">
        <v>129</v>
      </c>
      <c r="BC67" s="109" t="s">
        <v>129</v>
      </c>
      <c r="BF67" s="167" t="s">
        <v>796</v>
      </c>
      <c r="BG67" s="167" t="s">
        <v>797</v>
      </c>
      <c r="BI67" s="60" t="s">
        <v>357</v>
      </c>
      <c r="BL67" s="60" t="s">
        <v>357</v>
      </c>
      <c r="BO67" s="60" t="s">
        <v>357</v>
      </c>
      <c r="BQ67" s="128" t="s">
        <v>666</v>
      </c>
      <c r="BR67" s="128">
        <f>18/379</f>
        <v>4.7493403693931395E-2</v>
      </c>
      <c r="BT67" s="60" t="s">
        <v>357</v>
      </c>
      <c r="BV67" s="128" t="s">
        <v>667</v>
      </c>
      <c r="BW67" s="128">
        <f>24/725</f>
        <v>3.310344827586207E-2</v>
      </c>
      <c r="BX67" s="135"/>
      <c r="BY67" s="135"/>
      <c r="BZ67" s="135"/>
      <c r="CA67" s="135"/>
      <c r="CB67" s="135"/>
      <c r="CC67" s="135"/>
      <c r="CD67" s="135"/>
      <c r="CE67" s="135"/>
      <c r="CF67" s="135"/>
      <c r="CG67" s="135"/>
      <c r="CH67" s="135"/>
      <c r="CI67" s="135"/>
      <c r="CJ67" s="135"/>
      <c r="CK67" s="135"/>
      <c r="CL67" s="135"/>
      <c r="CM67" s="135"/>
      <c r="CN67" s="135"/>
      <c r="CO67" s="135"/>
      <c r="CP67" s="135"/>
      <c r="CQ67" s="135"/>
      <c r="CR67" s="135"/>
      <c r="CS67" s="135"/>
      <c r="CT67" s="135"/>
      <c r="CX67" s="171" t="s">
        <v>108</v>
      </c>
      <c r="CY67" s="170" t="s">
        <v>108</v>
      </c>
      <c r="DB67" s="135"/>
      <c r="DC67" s="135"/>
      <c r="DD67" s="135"/>
      <c r="DE67" s="135"/>
      <c r="DF67" s="135"/>
      <c r="DG67" s="135"/>
      <c r="DH67" s="135"/>
      <c r="DI67" s="135"/>
      <c r="DJ67" s="135"/>
      <c r="DK67" s="135"/>
      <c r="DL67" s="135"/>
      <c r="DM67" s="135"/>
    </row>
    <row r="68" spans="1:117" x14ac:dyDescent="0.3">
      <c r="A68">
        <v>65</v>
      </c>
      <c r="B68" t="s">
        <v>321</v>
      </c>
      <c r="C68">
        <v>1</v>
      </c>
      <c r="E68" s="5">
        <v>44357</v>
      </c>
      <c r="F68" s="5" t="s">
        <v>279</v>
      </c>
      <c r="G68">
        <v>305</v>
      </c>
      <c r="H68" s="82">
        <v>2</v>
      </c>
      <c r="I68" s="87" t="s">
        <v>201</v>
      </c>
      <c r="J68" t="s">
        <v>335</v>
      </c>
      <c r="K68" t="s">
        <v>255</v>
      </c>
      <c r="L68">
        <v>2</v>
      </c>
      <c r="M68">
        <v>1</v>
      </c>
      <c r="N68">
        <v>1</v>
      </c>
      <c r="O68" s="38" t="s">
        <v>449</v>
      </c>
      <c r="W68" s="11" t="s">
        <v>129</v>
      </c>
      <c r="Y68" s="23" t="s">
        <v>126</v>
      </c>
      <c r="Z68" s="26" t="s">
        <v>126</v>
      </c>
      <c r="AA68" s="26" t="s">
        <v>1011</v>
      </c>
      <c r="AK68" s="26" t="s">
        <v>126</v>
      </c>
      <c r="AL68" s="26" t="s">
        <v>126</v>
      </c>
      <c r="AP68">
        <v>1</v>
      </c>
      <c r="AQ68" s="56">
        <v>0.10416666666666667</v>
      </c>
      <c r="AR68" s="56">
        <v>0.20833333333333334</v>
      </c>
      <c r="AS68" t="s">
        <v>237</v>
      </c>
      <c r="AT68">
        <v>1</v>
      </c>
      <c r="AU68" t="s">
        <v>105</v>
      </c>
      <c r="AV68" t="s">
        <v>106</v>
      </c>
      <c r="AW68">
        <v>2</v>
      </c>
      <c r="AX68">
        <v>2</v>
      </c>
      <c r="AY68">
        <v>2</v>
      </c>
      <c r="AZ68">
        <v>2</v>
      </c>
      <c r="BA68" t="s">
        <v>345</v>
      </c>
      <c r="BB68" s="109" t="s">
        <v>129</v>
      </c>
      <c r="BC68" s="109" t="s">
        <v>129</v>
      </c>
      <c r="BF68" s="166" t="s">
        <v>798</v>
      </c>
      <c r="BG68" s="166" t="s">
        <v>799</v>
      </c>
      <c r="BV68" s="202" t="s">
        <v>424</v>
      </c>
      <c r="BW68" s="203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X68" s="171" t="s">
        <v>108</v>
      </c>
      <c r="CY68" s="170" t="s">
        <v>108</v>
      </c>
      <c r="DB68" s="135"/>
      <c r="DC68" s="13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5"/>
    </row>
    <row r="69" spans="1:117" x14ac:dyDescent="0.3">
      <c r="A69" s="61">
        <v>66</v>
      </c>
      <c r="B69" t="s">
        <v>322</v>
      </c>
      <c r="C69">
        <v>2</v>
      </c>
      <c r="E69" s="5">
        <v>44370</v>
      </c>
      <c r="F69" s="5" t="s">
        <v>330</v>
      </c>
      <c r="G69">
        <v>303</v>
      </c>
      <c r="H69" s="82">
        <v>1</v>
      </c>
      <c r="I69" s="16" t="s">
        <v>200</v>
      </c>
      <c r="J69">
        <v>1</v>
      </c>
      <c r="K69">
        <v>0</v>
      </c>
      <c r="L69">
        <v>2</v>
      </c>
      <c r="M69">
        <v>1</v>
      </c>
      <c r="N69">
        <v>0</v>
      </c>
      <c r="O69" t="s">
        <v>336</v>
      </c>
      <c r="P69" s="8" t="s">
        <v>353</v>
      </c>
      <c r="Q69" s="8" t="s">
        <v>125</v>
      </c>
      <c r="R69" s="8" t="s">
        <v>129</v>
      </c>
      <c r="S69" s="8" t="s">
        <v>129</v>
      </c>
      <c r="T69" s="11" t="s">
        <v>129</v>
      </c>
      <c r="U69" s="11" t="s">
        <v>126</v>
      </c>
      <c r="V69" s="11" t="s">
        <v>129</v>
      </c>
      <c r="W69" s="11" t="s">
        <v>126</v>
      </c>
      <c r="X69" s="8" t="s">
        <v>354</v>
      </c>
      <c r="Y69" s="11" t="s">
        <v>129</v>
      </c>
      <c r="Z69" s="26" t="s">
        <v>355</v>
      </c>
      <c r="AA69" s="26" t="s">
        <v>1008</v>
      </c>
      <c r="AC69" s="43" t="s">
        <v>467</v>
      </c>
      <c r="AD69" s="43" t="s">
        <v>467</v>
      </c>
      <c r="AE69" s="43"/>
      <c r="AF69" s="52" t="s">
        <v>758</v>
      </c>
      <c r="AG69" s="43"/>
      <c r="AH69" s="52" t="s">
        <v>761</v>
      </c>
      <c r="AI69" s="43"/>
      <c r="AJ69" s="52"/>
      <c r="AK69" s="102" t="s">
        <v>129</v>
      </c>
      <c r="AL69" s="145" t="s">
        <v>129</v>
      </c>
      <c r="AP69">
        <v>1</v>
      </c>
      <c r="AQ69" s="56">
        <v>0.10416666666666667</v>
      </c>
      <c r="AR69" s="56">
        <v>0.20833333333333334</v>
      </c>
      <c r="AS69" t="s">
        <v>237</v>
      </c>
      <c r="AT69">
        <v>1</v>
      </c>
      <c r="AU69" t="s">
        <v>105</v>
      </c>
      <c r="AV69" t="s">
        <v>106</v>
      </c>
      <c r="AW69">
        <v>2</v>
      </c>
      <c r="AX69">
        <v>2</v>
      </c>
      <c r="AY69">
        <v>2</v>
      </c>
      <c r="AZ69">
        <v>2</v>
      </c>
      <c r="BB69" s="109" t="s">
        <v>129</v>
      </c>
      <c r="BC69" s="109" t="s">
        <v>129</v>
      </c>
      <c r="BF69" s="167" t="s">
        <v>800</v>
      </c>
      <c r="BG69" s="167" t="s">
        <v>801</v>
      </c>
      <c r="BI69" s="60" t="s">
        <v>357</v>
      </c>
      <c r="BL69" s="60" t="s">
        <v>357</v>
      </c>
      <c r="BO69" s="60" t="s">
        <v>357</v>
      </c>
      <c r="BQ69" s="126" t="s">
        <v>668</v>
      </c>
      <c r="BR69" s="126">
        <f>12/377</f>
        <v>3.1830238726790451E-2</v>
      </c>
      <c r="BT69" s="60" t="s">
        <v>357</v>
      </c>
      <c r="BV69" s="127" t="s">
        <v>669</v>
      </c>
      <c r="BW69" s="127">
        <f>162/718</f>
        <v>0.22562674094707522</v>
      </c>
      <c r="BX69" s="137"/>
      <c r="BY69">
        <v>166</v>
      </c>
      <c r="BZ69" t="s">
        <v>709</v>
      </c>
      <c r="CA69">
        <v>2</v>
      </c>
      <c r="CC69" s="5">
        <v>44659</v>
      </c>
      <c r="CD69" t="s">
        <v>713</v>
      </c>
      <c r="CE69">
        <v>1</v>
      </c>
      <c r="CF69" s="56">
        <v>0.10416666666666667</v>
      </c>
      <c r="CG69" s="56">
        <v>0.125</v>
      </c>
      <c r="CH69" t="s">
        <v>572</v>
      </c>
      <c r="CI69" s="56">
        <v>0.20833333333333334</v>
      </c>
      <c r="CJ69" t="s">
        <v>560</v>
      </c>
      <c r="CK69">
        <v>1</v>
      </c>
      <c r="CL69" t="s">
        <v>258</v>
      </c>
      <c r="CM69" s="56" t="s">
        <v>259</v>
      </c>
      <c r="CN69">
        <v>0</v>
      </c>
      <c r="CO69">
        <v>0</v>
      </c>
      <c r="CP69">
        <v>2</v>
      </c>
      <c r="CQ69">
        <v>1</v>
      </c>
      <c r="CR69" t="s">
        <v>735</v>
      </c>
      <c r="CS69" s="133" t="s">
        <v>129</v>
      </c>
      <c r="CT69" s="133" t="s">
        <v>129</v>
      </c>
      <c r="CU69" s="147"/>
      <c r="CX69" s="171" t="s">
        <v>108</v>
      </c>
      <c r="CY69" s="170" t="s">
        <v>108</v>
      </c>
      <c r="DB69" s="177"/>
      <c r="DC69" s="177"/>
      <c r="DD69" s="177"/>
      <c r="DE69" s="177"/>
      <c r="DF69" s="177"/>
      <c r="DG69" s="177"/>
      <c r="DH69" s="181"/>
      <c r="DI69" s="177"/>
      <c r="DJ69" s="177"/>
      <c r="DK69" s="177"/>
      <c r="DL69" s="177"/>
      <c r="DM69" s="177"/>
    </row>
    <row r="70" spans="1:117" x14ac:dyDescent="0.3">
      <c r="A70">
        <v>67</v>
      </c>
      <c r="B70" t="s">
        <v>323</v>
      </c>
      <c r="C70">
        <v>3</v>
      </c>
      <c r="E70" s="5">
        <v>44377</v>
      </c>
      <c r="F70" s="5" t="s">
        <v>331</v>
      </c>
      <c r="G70">
        <v>294</v>
      </c>
      <c r="H70" s="82">
        <v>1</v>
      </c>
      <c r="I70" s="16" t="s">
        <v>200</v>
      </c>
      <c r="J70" s="9">
        <v>0</v>
      </c>
      <c r="O70" t="s">
        <v>337</v>
      </c>
      <c r="X70" s="69" t="s">
        <v>136</v>
      </c>
      <c r="Y70" s="23" t="s">
        <v>126</v>
      </c>
      <c r="AA70" s="26" t="s">
        <v>1010</v>
      </c>
      <c r="AK70" s="26" t="s">
        <v>126</v>
      </c>
      <c r="AL70" s="26" t="s">
        <v>126</v>
      </c>
      <c r="AP70">
        <v>1</v>
      </c>
      <c r="AQ70" t="s">
        <v>346</v>
      </c>
      <c r="AR70" s="56">
        <v>0.20833333333333334</v>
      </c>
      <c r="AS70" t="s">
        <v>237</v>
      </c>
      <c r="AT70">
        <v>1</v>
      </c>
      <c r="AU70" t="s">
        <v>111</v>
      </c>
      <c r="AV70" t="s">
        <v>155</v>
      </c>
      <c r="AW70">
        <v>0</v>
      </c>
      <c r="AX70">
        <v>0</v>
      </c>
      <c r="AY70">
        <v>0</v>
      </c>
      <c r="AZ70">
        <v>0</v>
      </c>
      <c r="BA70" t="s">
        <v>347</v>
      </c>
      <c r="BB70" s="30" t="s">
        <v>248</v>
      </c>
      <c r="BC70" s="30" t="s">
        <v>248</v>
      </c>
      <c r="BF70" s="30" t="s">
        <v>108</v>
      </c>
      <c r="BG70" s="30" t="s">
        <v>108</v>
      </c>
      <c r="BQ70" s="202" t="s">
        <v>424</v>
      </c>
      <c r="BR70" s="203"/>
      <c r="BV70" s="202" t="s">
        <v>424</v>
      </c>
      <c r="BW70" s="203"/>
      <c r="BX70" s="71" t="s">
        <v>750</v>
      </c>
      <c r="BY70">
        <v>167</v>
      </c>
      <c r="BZ70" t="s">
        <v>704</v>
      </c>
      <c r="CA70">
        <v>3</v>
      </c>
      <c r="CB70" t="s">
        <v>705</v>
      </c>
      <c r="CC70" s="5">
        <v>44644</v>
      </c>
      <c r="CD70" t="s">
        <v>706</v>
      </c>
      <c r="CE70">
        <v>1</v>
      </c>
      <c r="CF70" t="s">
        <v>730</v>
      </c>
      <c r="CG70" s="56">
        <v>0.125</v>
      </c>
      <c r="CH70" t="s">
        <v>583</v>
      </c>
      <c r="CI70" s="56">
        <v>0.20833333333333334</v>
      </c>
      <c r="CJ70" t="s">
        <v>731</v>
      </c>
      <c r="CK70">
        <v>1</v>
      </c>
      <c r="CL70" t="s">
        <v>292</v>
      </c>
      <c r="CM70" s="56" t="s">
        <v>259</v>
      </c>
      <c r="CN70">
        <v>1</v>
      </c>
      <c r="CO70">
        <v>0</v>
      </c>
      <c r="CP70">
        <v>0</v>
      </c>
      <c r="CQ70" s="116">
        <v>44593</v>
      </c>
      <c r="CR70" t="s">
        <v>732</v>
      </c>
      <c r="CS70" s="133" t="s">
        <v>129</v>
      </c>
      <c r="CT70" s="133" t="s">
        <v>129</v>
      </c>
      <c r="CX70" s="171" t="s">
        <v>768</v>
      </c>
      <c r="CY70" s="170" t="s">
        <v>853</v>
      </c>
      <c r="DB70" t="s">
        <v>424</v>
      </c>
      <c r="DD70" t="s">
        <v>1000</v>
      </c>
      <c r="DF70" s="173" t="s">
        <v>424</v>
      </c>
      <c r="DH70" t="s">
        <v>999</v>
      </c>
      <c r="DJ70" t="s">
        <v>424</v>
      </c>
      <c r="DL70" t="s">
        <v>999</v>
      </c>
    </row>
    <row r="71" spans="1:117" x14ac:dyDescent="0.3">
      <c r="A71" s="70">
        <v>68</v>
      </c>
      <c r="B71" s="54" t="s">
        <v>324</v>
      </c>
      <c r="C71" s="54">
        <v>4</v>
      </c>
      <c r="D71" s="54" t="s">
        <v>332</v>
      </c>
      <c r="E71" s="55">
        <v>44379</v>
      </c>
      <c r="F71" s="55" t="s">
        <v>29</v>
      </c>
      <c r="G71">
        <v>285</v>
      </c>
      <c r="H71" s="82">
        <v>1</v>
      </c>
      <c r="I71" s="16" t="s">
        <v>200</v>
      </c>
      <c r="J71" s="54">
        <v>1</v>
      </c>
      <c r="K71" s="54" t="s">
        <v>255</v>
      </c>
      <c r="L71" s="54">
        <v>2</v>
      </c>
      <c r="M71" s="54">
        <v>1</v>
      </c>
      <c r="N71" s="54">
        <v>1</v>
      </c>
      <c r="O71" s="54"/>
      <c r="Q71" s="8" t="s">
        <v>125</v>
      </c>
      <c r="R71" s="8" t="s">
        <v>129</v>
      </c>
      <c r="S71" s="8" t="s">
        <v>129</v>
      </c>
      <c r="T71" s="11" t="s">
        <v>129</v>
      </c>
      <c r="U71" s="11" t="s">
        <v>126</v>
      </c>
      <c r="V71" s="11" t="s">
        <v>129</v>
      </c>
      <c r="W71" s="11" t="s">
        <v>126</v>
      </c>
      <c r="Y71" s="11" t="s">
        <v>129</v>
      </c>
      <c r="Z71" s="26" t="s">
        <v>126</v>
      </c>
      <c r="AA71" s="26" t="s">
        <v>1008</v>
      </c>
      <c r="AC71" s="43" t="s">
        <v>467</v>
      </c>
      <c r="AD71" s="43" t="s">
        <v>467</v>
      </c>
      <c r="AE71" s="43"/>
      <c r="AF71" s="52"/>
      <c r="AG71" s="43"/>
      <c r="AH71" s="52" t="s">
        <v>761</v>
      </c>
      <c r="AI71" s="43"/>
      <c r="AJ71" s="52"/>
      <c r="AK71" s="102" t="s">
        <v>129</v>
      </c>
      <c r="AL71" s="145" t="s">
        <v>129</v>
      </c>
      <c r="AP71" s="54">
        <v>1</v>
      </c>
      <c r="AQ71" s="54" t="s">
        <v>346</v>
      </c>
      <c r="AR71" s="57">
        <v>0.20833333333333334</v>
      </c>
      <c r="AS71" s="54" t="s">
        <v>237</v>
      </c>
      <c r="AT71" s="54">
        <v>1</v>
      </c>
      <c r="AU71" s="54" t="s">
        <v>348</v>
      </c>
      <c r="AV71" s="54" t="s">
        <v>119</v>
      </c>
      <c r="AW71" s="54">
        <v>1</v>
      </c>
      <c r="AX71" s="54">
        <v>1</v>
      </c>
      <c r="AY71" s="54">
        <v>2</v>
      </c>
      <c r="AZ71" s="54">
        <v>2</v>
      </c>
      <c r="BA71" s="54"/>
      <c r="BB71" s="109" t="s">
        <v>129</v>
      </c>
      <c r="BC71" s="109" t="s">
        <v>129</v>
      </c>
      <c r="BF71" s="167" t="s">
        <v>802</v>
      </c>
      <c r="BG71" s="167" t="s">
        <v>803</v>
      </c>
      <c r="BJ71" s="60" t="s">
        <v>357</v>
      </c>
      <c r="BL71" s="60" t="s">
        <v>357</v>
      </c>
      <c r="BO71" s="60" t="s">
        <v>357</v>
      </c>
      <c r="BQ71" s="126" t="s">
        <v>670</v>
      </c>
      <c r="BR71" s="126">
        <f>6/414</f>
        <v>1.4492753623188406E-2</v>
      </c>
      <c r="BT71" s="60" t="s">
        <v>357</v>
      </c>
      <c r="BV71" s="127" t="s">
        <v>671</v>
      </c>
      <c r="BW71" s="127">
        <f>620/1013</f>
        <v>0.61204343534057259</v>
      </c>
      <c r="BX71" s="71" t="s">
        <v>750</v>
      </c>
      <c r="BY71">
        <v>168</v>
      </c>
      <c r="BZ71" t="s">
        <v>707</v>
      </c>
      <c r="CA71">
        <v>4</v>
      </c>
      <c r="CC71" s="5">
        <v>44645</v>
      </c>
      <c r="CD71" t="s">
        <v>708</v>
      </c>
      <c r="CE71">
        <v>1</v>
      </c>
      <c r="CF71" s="56">
        <v>0.10416666666666667</v>
      </c>
      <c r="CG71" s="56">
        <v>0.125</v>
      </c>
      <c r="CH71" t="s">
        <v>583</v>
      </c>
      <c r="CI71" s="56">
        <v>0.20833333333333334</v>
      </c>
      <c r="CJ71" t="s">
        <v>560</v>
      </c>
      <c r="CK71">
        <v>1</v>
      </c>
      <c r="CL71" t="s">
        <v>348</v>
      </c>
      <c r="CM71" s="56" t="s">
        <v>577</v>
      </c>
      <c r="CN71">
        <v>1</v>
      </c>
      <c r="CO71">
        <v>0</v>
      </c>
      <c r="CP71">
        <v>2</v>
      </c>
      <c r="CQ71">
        <v>1</v>
      </c>
      <c r="CR71" t="s">
        <v>733</v>
      </c>
      <c r="CS71" s="134" t="s">
        <v>129</v>
      </c>
      <c r="CT71" s="134" t="s">
        <v>129</v>
      </c>
      <c r="CU71" s="147"/>
      <c r="CX71" s="171" t="s">
        <v>108</v>
      </c>
      <c r="CY71" s="170" t="s">
        <v>108</v>
      </c>
      <c r="DB71" s="218" t="s">
        <v>1003</v>
      </c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</row>
    <row r="72" spans="1:117" x14ac:dyDescent="0.3">
      <c r="A72" s="61">
        <v>69</v>
      </c>
      <c r="B72" s="34" t="s">
        <v>365</v>
      </c>
      <c r="C72" s="34">
        <v>5</v>
      </c>
      <c r="D72" s="71"/>
      <c r="E72" s="35">
        <v>44384</v>
      </c>
      <c r="F72" s="35" t="s">
        <v>457</v>
      </c>
      <c r="G72" s="34">
        <v>285</v>
      </c>
      <c r="H72" s="82">
        <v>1</v>
      </c>
      <c r="I72" s="16" t="s">
        <v>200</v>
      </c>
      <c r="J72" s="34">
        <v>1</v>
      </c>
      <c r="K72" s="34">
        <v>0</v>
      </c>
      <c r="L72" s="34">
        <v>2</v>
      </c>
      <c r="M72" s="34">
        <v>1</v>
      </c>
      <c r="N72" s="34">
        <v>1</v>
      </c>
      <c r="O72" s="34"/>
      <c r="Q72" s="8" t="s">
        <v>125</v>
      </c>
      <c r="R72" s="8" t="s">
        <v>129</v>
      </c>
      <c r="S72" s="8" t="s">
        <v>129</v>
      </c>
      <c r="T72" s="11" t="s">
        <v>129</v>
      </c>
      <c r="U72" s="11" t="s">
        <v>126</v>
      </c>
      <c r="V72" s="11" t="s">
        <v>129</v>
      </c>
      <c r="W72" s="11" t="s">
        <v>126</v>
      </c>
      <c r="Y72" s="11" t="s">
        <v>129</v>
      </c>
      <c r="Z72" s="26" t="s">
        <v>126</v>
      </c>
      <c r="AA72" s="178">
        <v>1</v>
      </c>
      <c r="AB72" s="178" t="s">
        <v>1043</v>
      </c>
      <c r="AC72" s="43" t="s">
        <v>467</v>
      </c>
      <c r="AD72" s="43" t="s">
        <v>467</v>
      </c>
      <c r="AE72" s="43"/>
      <c r="AF72" s="52"/>
      <c r="AG72" s="43"/>
      <c r="AH72" s="52" t="s">
        <v>761</v>
      </c>
      <c r="AI72" s="43"/>
      <c r="AJ72" s="52"/>
      <c r="AK72" s="102" t="s">
        <v>129</v>
      </c>
      <c r="AL72" s="102" t="s">
        <v>129</v>
      </c>
      <c r="AM72" s="142"/>
      <c r="AN72" s="142"/>
      <c r="AO72" s="150"/>
      <c r="AP72" s="34">
        <v>1</v>
      </c>
      <c r="AQ72" s="41">
        <v>0.10416666666666667</v>
      </c>
      <c r="AR72" s="41">
        <v>0.20833333333333334</v>
      </c>
      <c r="AS72" s="34" t="s">
        <v>237</v>
      </c>
      <c r="AT72" s="34">
        <v>1</v>
      </c>
      <c r="AU72" s="34"/>
      <c r="AV72" s="34" t="s">
        <v>106</v>
      </c>
      <c r="AW72" s="34">
        <v>1</v>
      </c>
      <c r="AX72" s="34">
        <v>1</v>
      </c>
      <c r="AY72" s="34">
        <v>2</v>
      </c>
      <c r="AZ72" s="34">
        <v>1</v>
      </c>
      <c r="BA72" s="34"/>
      <c r="BB72" s="109" t="s">
        <v>129</v>
      </c>
      <c r="BC72" s="109" t="s">
        <v>129</v>
      </c>
      <c r="BF72" s="167" t="s">
        <v>782</v>
      </c>
      <c r="BG72" s="167" t="s">
        <v>804</v>
      </c>
      <c r="BI72" s="60" t="s">
        <v>357</v>
      </c>
      <c r="BL72" s="60" t="s">
        <v>357</v>
      </c>
      <c r="BO72" s="60" t="s">
        <v>357</v>
      </c>
      <c r="BQ72" s="128" t="s">
        <v>672</v>
      </c>
      <c r="BR72" s="128">
        <f>55/426</f>
        <v>0.12910798122065728</v>
      </c>
      <c r="BT72" s="60" t="s">
        <v>357</v>
      </c>
      <c r="BV72" s="128" t="s">
        <v>673</v>
      </c>
      <c r="BW72" s="128">
        <f>11/697</f>
        <v>1.5781922525107604E-2</v>
      </c>
      <c r="BX72" s="135"/>
      <c r="BY72" s="135"/>
      <c r="BZ72" s="135"/>
      <c r="CA72" s="135"/>
      <c r="CB72" s="135"/>
      <c r="CC72" s="135"/>
      <c r="CD72" s="135"/>
      <c r="CE72" s="135"/>
      <c r="CF72" s="135"/>
      <c r="CG72" s="135"/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X72" s="171" t="s">
        <v>108</v>
      </c>
      <c r="CY72" s="170" t="s">
        <v>108</v>
      </c>
      <c r="DB72" s="135"/>
      <c r="DC72" s="135"/>
      <c r="DD72" s="135"/>
      <c r="DE72" s="135"/>
      <c r="DF72" s="135"/>
      <c r="DG72" s="135"/>
      <c r="DH72" s="135"/>
      <c r="DI72" s="135"/>
      <c r="DJ72" s="135"/>
      <c r="DK72" s="135"/>
      <c r="DL72" s="135"/>
      <c r="DM72" s="135"/>
    </row>
    <row r="73" spans="1:117" x14ac:dyDescent="0.3">
      <c r="A73">
        <v>70</v>
      </c>
      <c r="B73" s="34" t="s">
        <v>366</v>
      </c>
      <c r="C73" s="34">
        <v>6</v>
      </c>
      <c r="E73" s="35">
        <v>44389</v>
      </c>
      <c r="F73" s="35" t="s">
        <v>371</v>
      </c>
      <c r="G73" s="34">
        <v>308</v>
      </c>
      <c r="H73" s="82">
        <v>2</v>
      </c>
      <c r="I73" s="87" t="s">
        <v>201</v>
      </c>
      <c r="J73" s="34">
        <v>1</v>
      </c>
      <c r="K73" s="34">
        <v>0</v>
      </c>
      <c r="L73" s="34">
        <v>0</v>
      </c>
      <c r="M73" s="34">
        <v>1</v>
      </c>
      <c r="N73" s="34">
        <v>0</v>
      </c>
      <c r="O73" s="34" t="s">
        <v>374</v>
      </c>
      <c r="Q73" s="8" t="s">
        <v>125</v>
      </c>
      <c r="R73" s="8" t="s">
        <v>126</v>
      </c>
      <c r="S73" s="8" t="s">
        <v>129</v>
      </c>
      <c r="T73" s="11" t="s">
        <v>129</v>
      </c>
      <c r="U73" s="11" t="s">
        <v>126</v>
      </c>
      <c r="V73" s="22" t="s">
        <v>126</v>
      </c>
      <c r="W73" s="11" t="s">
        <v>129</v>
      </c>
      <c r="X73" s="15" t="s">
        <v>198</v>
      </c>
      <c r="Y73" s="23" t="s">
        <v>126</v>
      </c>
      <c r="AA73" s="26" t="s">
        <v>1011</v>
      </c>
      <c r="AK73" s="26" t="s">
        <v>126</v>
      </c>
      <c r="AL73" s="26" t="s">
        <v>126</v>
      </c>
      <c r="AP73" s="34">
        <v>1</v>
      </c>
      <c r="AQ73" s="41">
        <v>0.10416666666666667</v>
      </c>
      <c r="AR73" s="41">
        <v>0.20833333333333334</v>
      </c>
      <c r="AS73" s="34" t="s">
        <v>237</v>
      </c>
      <c r="AT73" s="34">
        <v>1</v>
      </c>
      <c r="AU73" s="34" t="s">
        <v>105</v>
      </c>
      <c r="AV73" s="34" t="s">
        <v>155</v>
      </c>
      <c r="AW73" s="34">
        <v>1</v>
      </c>
      <c r="AX73" s="34">
        <v>1</v>
      </c>
      <c r="AY73" s="34">
        <v>1</v>
      </c>
      <c r="AZ73" s="34">
        <v>1</v>
      </c>
      <c r="BA73" s="34" t="s">
        <v>376</v>
      </c>
      <c r="BB73" s="109" t="s">
        <v>129</v>
      </c>
      <c r="BC73" s="109" t="s">
        <v>129</v>
      </c>
      <c r="BF73" s="30" t="s">
        <v>108</v>
      </c>
      <c r="BG73" s="30" t="s">
        <v>108</v>
      </c>
      <c r="BQ73" s="202" t="s">
        <v>424</v>
      </c>
      <c r="BR73" s="203"/>
      <c r="BV73" s="202" t="s">
        <v>424</v>
      </c>
      <c r="BW73" s="203"/>
      <c r="BX73" s="71" t="s">
        <v>750</v>
      </c>
      <c r="BY73">
        <v>170</v>
      </c>
      <c r="BZ73" t="s">
        <v>711</v>
      </c>
      <c r="CA73">
        <v>6</v>
      </c>
      <c r="CC73" s="5">
        <v>44657</v>
      </c>
      <c r="CD73" t="s">
        <v>712</v>
      </c>
      <c r="CE73">
        <v>1</v>
      </c>
      <c r="CF73" s="56">
        <v>0.10416666666666667</v>
      </c>
      <c r="CG73" s="56">
        <v>0.125</v>
      </c>
      <c r="CH73" t="s">
        <v>572</v>
      </c>
      <c r="CI73" s="56">
        <v>0.20833333333333334</v>
      </c>
      <c r="CJ73" t="s">
        <v>89</v>
      </c>
      <c r="CK73">
        <v>1</v>
      </c>
      <c r="CL73" t="s">
        <v>111</v>
      </c>
      <c r="CM73" s="56" t="s">
        <v>119</v>
      </c>
      <c r="CN73">
        <v>0</v>
      </c>
      <c r="CO73">
        <v>0</v>
      </c>
      <c r="CP73">
        <v>1</v>
      </c>
      <c r="CQ73">
        <v>0</v>
      </c>
      <c r="CR73" t="s">
        <v>734</v>
      </c>
      <c r="CS73" t="s">
        <v>126</v>
      </c>
      <c r="CT73" t="s">
        <v>126</v>
      </c>
      <c r="CX73" s="171" t="s">
        <v>108</v>
      </c>
      <c r="CY73" s="170" t="s">
        <v>108</v>
      </c>
      <c r="DB73" s="173" t="s">
        <v>424</v>
      </c>
      <c r="DC73" s="173"/>
      <c r="DD73" s="173" t="s">
        <v>424</v>
      </c>
      <c r="DE73" s="173"/>
      <c r="DF73" s="173" t="s">
        <v>424</v>
      </c>
      <c r="DG73" s="173"/>
      <c r="DH73" s="173" t="s">
        <v>424</v>
      </c>
      <c r="DI73" s="173"/>
      <c r="DJ73" s="173" t="s">
        <v>424</v>
      </c>
      <c r="DK73" s="173"/>
      <c r="DL73" s="173" t="s">
        <v>424</v>
      </c>
      <c r="DM73" s="173"/>
    </row>
    <row r="74" spans="1:117" x14ac:dyDescent="0.3">
      <c r="A74" s="61">
        <v>71</v>
      </c>
      <c r="B74" s="34" t="s">
        <v>367</v>
      </c>
      <c r="C74" s="34">
        <v>7</v>
      </c>
      <c r="E74" s="35">
        <v>44390</v>
      </c>
      <c r="F74" s="35" t="s">
        <v>458</v>
      </c>
      <c r="G74" s="34">
        <v>308</v>
      </c>
      <c r="H74" s="82">
        <v>2</v>
      </c>
      <c r="I74" s="87" t="s">
        <v>201</v>
      </c>
      <c r="J74" s="34">
        <v>1</v>
      </c>
      <c r="K74" s="72">
        <v>1</v>
      </c>
      <c r="L74" s="34">
        <v>2</v>
      </c>
      <c r="M74" s="34">
        <v>1</v>
      </c>
      <c r="N74" s="34">
        <v>1</v>
      </c>
      <c r="O74" s="34" t="s">
        <v>375</v>
      </c>
      <c r="Q74" s="8" t="s">
        <v>125</v>
      </c>
      <c r="R74" s="8" t="s">
        <v>126</v>
      </c>
      <c r="S74" s="8" t="s">
        <v>129</v>
      </c>
      <c r="T74" s="11" t="s">
        <v>129</v>
      </c>
      <c r="U74" s="11" t="s">
        <v>164</v>
      </c>
      <c r="V74" s="11" t="s">
        <v>129</v>
      </c>
      <c r="W74" s="11" t="s">
        <v>126</v>
      </c>
      <c r="X74" s="8" t="s">
        <v>354</v>
      </c>
      <c r="Y74" s="11" t="s">
        <v>129</v>
      </c>
      <c r="Z74" s="26" t="s">
        <v>126</v>
      </c>
      <c r="AA74" s="26" t="s">
        <v>1017</v>
      </c>
      <c r="AC74" s="43" t="s">
        <v>752</v>
      </c>
      <c r="AD74" s="43" t="s">
        <v>752</v>
      </c>
      <c r="AE74" s="43"/>
      <c r="AF74" s="52"/>
      <c r="AG74" s="43"/>
      <c r="AH74" s="52" t="s">
        <v>761</v>
      </c>
      <c r="AI74" s="43"/>
      <c r="AJ74" s="52"/>
      <c r="AK74" s="102" t="s">
        <v>129</v>
      </c>
      <c r="AL74" s="145" t="s">
        <v>129</v>
      </c>
      <c r="AO74" s="150"/>
      <c r="AP74" s="34">
        <v>1</v>
      </c>
      <c r="AQ74" s="41">
        <v>0.10416666666666667</v>
      </c>
      <c r="AR74" s="41">
        <v>0.20833333333333334</v>
      </c>
      <c r="AS74" s="34" t="s">
        <v>237</v>
      </c>
      <c r="AT74" s="34">
        <v>1</v>
      </c>
      <c r="AU74" s="34" t="s">
        <v>210</v>
      </c>
      <c r="AV74" s="34" t="s">
        <v>106</v>
      </c>
      <c r="AW74" s="34">
        <v>0</v>
      </c>
      <c r="AX74" s="34">
        <v>0</v>
      </c>
      <c r="AY74" s="34">
        <v>2</v>
      </c>
      <c r="AZ74" s="34">
        <v>1</v>
      </c>
      <c r="BA74" s="34" t="s">
        <v>377</v>
      </c>
      <c r="BB74" s="30" t="s">
        <v>432</v>
      </c>
      <c r="BC74" s="33" t="s">
        <v>129</v>
      </c>
      <c r="BF74" s="169" t="s">
        <v>108</v>
      </c>
      <c r="BG74" s="169" t="s">
        <v>108</v>
      </c>
      <c r="BH74" s="59" t="s">
        <v>357</v>
      </c>
      <c r="BL74" s="60" t="s">
        <v>357</v>
      </c>
      <c r="BN74" s="59" t="s">
        <v>357</v>
      </c>
      <c r="BQ74" s="128" t="s">
        <v>629</v>
      </c>
      <c r="BR74" s="128">
        <f>0/416</f>
        <v>0</v>
      </c>
      <c r="BT74" s="60" t="s">
        <v>357</v>
      </c>
      <c r="BV74" s="128" t="s">
        <v>674</v>
      </c>
      <c r="BW74" s="128">
        <f>0/723</f>
        <v>0</v>
      </c>
      <c r="BX74" s="71" t="s">
        <v>750</v>
      </c>
      <c r="BY74">
        <v>171</v>
      </c>
      <c r="BZ74" t="s">
        <v>709</v>
      </c>
      <c r="CA74">
        <v>7</v>
      </c>
      <c r="CC74" s="5">
        <v>44651</v>
      </c>
      <c r="CD74" t="s">
        <v>710</v>
      </c>
      <c r="CS74" s="133" t="s">
        <v>129</v>
      </c>
      <c r="CT74" s="133" t="s">
        <v>129</v>
      </c>
      <c r="CX74" s="171" t="s">
        <v>768</v>
      </c>
      <c r="CY74" s="170" t="s">
        <v>854</v>
      </c>
      <c r="DB74" t="s">
        <v>971</v>
      </c>
      <c r="DC74" s="175">
        <f>6/240</f>
        <v>2.5000000000000001E-2</v>
      </c>
      <c r="DD74" t="s">
        <v>972</v>
      </c>
      <c r="DE74" s="175">
        <f>6/322</f>
        <v>1.8633540372670808E-2</v>
      </c>
      <c r="DF74" t="s">
        <v>923</v>
      </c>
      <c r="DG74" s="175">
        <v>0</v>
      </c>
      <c r="DH74" t="s">
        <v>968</v>
      </c>
      <c r="DI74" s="175">
        <f>3/401</f>
        <v>7.481296758104738E-3</v>
      </c>
      <c r="DJ74" t="s">
        <v>969</v>
      </c>
      <c r="DK74" s="175">
        <f>15/461</f>
        <v>3.2537960954446853E-2</v>
      </c>
      <c r="DL74" t="s">
        <v>970</v>
      </c>
      <c r="DM74" s="175">
        <v>0</v>
      </c>
    </row>
    <row r="75" spans="1:117" x14ac:dyDescent="0.3">
      <c r="A75" s="101">
        <v>72</v>
      </c>
      <c r="B75" s="34" t="s">
        <v>368</v>
      </c>
      <c r="C75" s="34">
        <v>8</v>
      </c>
      <c r="E75" s="35">
        <v>44392</v>
      </c>
      <c r="F75" s="35" t="s">
        <v>372</v>
      </c>
      <c r="G75" s="34">
        <v>308</v>
      </c>
      <c r="H75" s="82">
        <v>2</v>
      </c>
      <c r="I75" s="87" t="s">
        <v>201</v>
      </c>
      <c r="J75" s="34">
        <v>1</v>
      </c>
      <c r="K75" s="34">
        <v>0</v>
      </c>
      <c r="L75" s="34">
        <v>2</v>
      </c>
      <c r="M75" s="34">
        <v>1</v>
      </c>
      <c r="N75" s="34">
        <v>1</v>
      </c>
      <c r="O75" s="34"/>
      <c r="Q75" s="8" t="s">
        <v>125</v>
      </c>
      <c r="R75" s="8" t="s">
        <v>129</v>
      </c>
      <c r="S75" s="8" t="s">
        <v>129</v>
      </c>
      <c r="T75" s="11" t="s">
        <v>129</v>
      </c>
      <c r="U75" s="11" t="s">
        <v>126</v>
      </c>
      <c r="V75" s="11" t="s">
        <v>129</v>
      </c>
      <c r="W75" s="11" t="s">
        <v>126</v>
      </c>
      <c r="Y75" s="11" t="s">
        <v>129</v>
      </c>
      <c r="Z75" s="26" t="s">
        <v>126</v>
      </c>
      <c r="AA75" s="26" t="s">
        <v>1018</v>
      </c>
      <c r="AK75" s="26" t="s">
        <v>129</v>
      </c>
      <c r="AL75" s="145" t="s">
        <v>129</v>
      </c>
      <c r="AP75" s="34">
        <v>1</v>
      </c>
      <c r="AQ75" s="41">
        <v>9.6527777777777768E-2</v>
      </c>
      <c r="AR75" s="41">
        <v>7.3611111111111113E-2</v>
      </c>
      <c r="AS75" s="34" t="s">
        <v>237</v>
      </c>
      <c r="AT75" s="34">
        <v>1</v>
      </c>
      <c r="AU75" s="34" t="s">
        <v>292</v>
      </c>
      <c r="AV75" s="34" t="s">
        <v>106</v>
      </c>
      <c r="AW75" s="34">
        <v>1</v>
      </c>
      <c r="AX75" s="34">
        <v>1</v>
      </c>
      <c r="AY75" s="34">
        <v>1</v>
      </c>
      <c r="AZ75" s="34">
        <v>1</v>
      </c>
      <c r="BA75" s="34" t="s">
        <v>378</v>
      </c>
      <c r="BB75" s="109" t="s">
        <v>129</v>
      </c>
      <c r="BC75" s="109" t="s">
        <v>129</v>
      </c>
      <c r="BF75" s="166" t="s">
        <v>805</v>
      </c>
      <c r="BG75" s="166" t="s">
        <v>806</v>
      </c>
      <c r="BI75" s="60" t="s">
        <v>357</v>
      </c>
      <c r="BL75" s="60" t="s">
        <v>357</v>
      </c>
      <c r="BO75" s="60" t="s">
        <v>357</v>
      </c>
      <c r="BQ75" s="126" t="s">
        <v>675</v>
      </c>
      <c r="BR75" s="126">
        <f>0/122</f>
        <v>0</v>
      </c>
      <c r="BT75" s="60" t="s">
        <v>357</v>
      </c>
      <c r="BV75" s="126" t="s">
        <v>676</v>
      </c>
      <c r="BW75" s="126">
        <f>41/215</f>
        <v>0.19069767441860466</v>
      </c>
      <c r="BX75" s="135"/>
      <c r="BY75" s="135"/>
      <c r="BZ75" s="135"/>
      <c r="CA75" s="135"/>
      <c r="CB75" s="135"/>
      <c r="CC75" s="135"/>
      <c r="CD75" s="135"/>
      <c r="CE75" s="135"/>
      <c r="CF75" s="135"/>
      <c r="CG75" s="135"/>
      <c r="CH75" s="135"/>
      <c r="CI75" s="135"/>
      <c r="CJ75" s="135"/>
      <c r="CK75" s="135"/>
      <c r="CL75" s="135"/>
      <c r="CM75" s="135"/>
      <c r="CN75" s="135"/>
      <c r="CO75" s="135"/>
      <c r="CP75" s="135"/>
      <c r="CQ75" s="135"/>
      <c r="CR75" s="135"/>
      <c r="CS75" s="135"/>
      <c r="CT75" s="135"/>
      <c r="CX75" s="171" t="s">
        <v>108</v>
      </c>
      <c r="CY75" s="170" t="s">
        <v>108</v>
      </c>
      <c r="DB75" s="135"/>
      <c r="DC75" s="135"/>
      <c r="DD75" s="135"/>
      <c r="DE75" s="135"/>
      <c r="DF75" s="135"/>
      <c r="DG75" s="135"/>
      <c r="DH75" s="135"/>
      <c r="DI75" s="135"/>
      <c r="DJ75" s="135"/>
      <c r="DK75" s="135"/>
      <c r="DL75" s="135"/>
      <c r="DM75" s="135"/>
    </row>
    <row r="76" spans="1:117" x14ac:dyDescent="0.3">
      <c r="A76" s="61">
        <v>73</v>
      </c>
      <c r="B76" s="34" t="s">
        <v>369</v>
      </c>
      <c r="C76" s="34">
        <v>1</v>
      </c>
      <c r="D76" s="71"/>
      <c r="E76" s="35">
        <v>44393</v>
      </c>
      <c r="F76" s="35" t="s">
        <v>373</v>
      </c>
      <c r="G76" s="34">
        <v>312</v>
      </c>
      <c r="H76" s="82">
        <v>2</v>
      </c>
      <c r="I76" s="87" t="s">
        <v>201</v>
      </c>
      <c r="J76" s="34">
        <v>1</v>
      </c>
      <c r="K76" s="34">
        <v>0</v>
      </c>
      <c r="L76" s="34">
        <v>2</v>
      </c>
      <c r="M76" s="34">
        <v>1</v>
      </c>
      <c r="N76" s="34">
        <v>1</v>
      </c>
      <c r="O76" s="34"/>
      <c r="Q76" s="8" t="s">
        <v>125</v>
      </c>
      <c r="R76" s="8" t="s">
        <v>129</v>
      </c>
      <c r="S76" s="8" t="s">
        <v>129</v>
      </c>
      <c r="T76" s="11" t="s">
        <v>129</v>
      </c>
      <c r="U76" s="11" t="s">
        <v>126</v>
      </c>
      <c r="V76" s="11" t="s">
        <v>129</v>
      </c>
      <c r="W76" s="11" t="s">
        <v>126</v>
      </c>
      <c r="X76" s="8" t="s">
        <v>382</v>
      </c>
      <c r="Y76" s="11" t="s">
        <v>129</v>
      </c>
      <c r="Z76" s="26" t="s">
        <v>126</v>
      </c>
      <c r="AA76" s="26" t="s">
        <v>1019</v>
      </c>
      <c r="AC76" s="43" t="s">
        <v>467</v>
      </c>
      <c r="AD76" s="43" t="s">
        <v>467</v>
      </c>
      <c r="AE76" s="43"/>
      <c r="AF76" s="52"/>
      <c r="AG76" s="43"/>
      <c r="AH76" s="52" t="s">
        <v>761</v>
      </c>
      <c r="AI76" s="43"/>
      <c r="AJ76" s="52"/>
      <c r="AK76" s="102" t="s">
        <v>126</v>
      </c>
      <c r="AL76" s="102" t="s">
        <v>126</v>
      </c>
      <c r="AP76" s="34">
        <v>1</v>
      </c>
      <c r="AQ76" s="41">
        <v>0.10416666666666667</v>
      </c>
      <c r="AR76" s="41">
        <v>0.18888888888888888</v>
      </c>
      <c r="AS76" s="34" t="s">
        <v>237</v>
      </c>
      <c r="AT76" s="34">
        <v>1</v>
      </c>
      <c r="AU76" s="34" t="s">
        <v>292</v>
      </c>
      <c r="AV76" s="34" t="s">
        <v>106</v>
      </c>
      <c r="AW76" s="34">
        <v>2</v>
      </c>
      <c r="AX76" s="34">
        <v>0</v>
      </c>
      <c r="AY76" s="34">
        <v>0</v>
      </c>
      <c r="AZ76" s="34">
        <v>2</v>
      </c>
      <c r="BA76" s="34" t="s">
        <v>379</v>
      </c>
      <c r="BB76" s="109" t="s">
        <v>129</v>
      </c>
      <c r="BC76" s="109" t="s">
        <v>129</v>
      </c>
      <c r="BF76" s="169" t="s">
        <v>768</v>
      </c>
      <c r="BG76" s="167" t="s">
        <v>807</v>
      </c>
      <c r="BH76" s="40" t="s">
        <v>424</v>
      </c>
      <c r="BI76" t="s">
        <v>424</v>
      </c>
      <c r="BJ76" t="s">
        <v>424</v>
      </c>
      <c r="BL76" s="60" t="s">
        <v>357</v>
      </c>
      <c r="BN76" s="40" t="s">
        <v>424</v>
      </c>
      <c r="BO76" t="s">
        <v>424</v>
      </c>
      <c r="BP76" t="s">
        <v>424</v>
      </c>
      <c r="BT76" s="60" t="s">
        <v>357</v>
      </c>
      <c r="BX76" s="135"/>
      <c r="BY76" s="135"/>
      <c r="BZ76" s="135"/>
      <c r="CA76" s="135"/>
      <c r="CB76" s="135"/>
      <c r="CC76" s="135"/>
      <c r="CD76" s="135"/>
      <c r="CE76" s="135"/>
      <c r="CF76" s="135"/>
      <c r="CG76" s="135"/>
      <c r="CH76" s="135"/>
      <c r="CI76" s="135"/>
      <c r="CJ76" s="135"/>
      <c r="CK76" s="135"/>
      <c r="CL76" s="135"/>
      <c r="CM76" s="135"/>
      <c r="CN76" s="135"/>
      <c r="CO76" s="135"/>
      <c r="CP76" s="135"/>
      <c r="CQ76" s="135"/>
      <c r="CR76" s="135"/>
      <c r="CS76" s="135"/>
      <c r="CT76" s="135"/>
      <c r="CX76" s="171" t="s">
        <v>108</v>
      </c>
      <c r="CY76" s="170" t="s">
        <v>108</v>
      </c>
      <c r="DB76" s="135"/>
      <c r="DC76" s="135"/>
      <c r="DD76" s="135"/>
      <c r="DE76" s="135"/>
      <c r="DF76" s="135"/>
      <c r="DG76" s="135"/>
      <c r="DH76" s="135"/>
      <c r="DI76" s="135"/>
      <c r="DJ76" s="135"/>
      <c r="DK76" s="135"/>
      <c r="DL76" s="135"/>
      <c r="DM76" s="135"/>
    </row>
    <row r="77" spans="1:117" x14ac:dyDescent="0.3">
      <c r="A77" s="61">
        <v>74</v>
      </c>
      <c r="B77" s="34" t="s">
        <v>370</v>
      </c>
      <c r="C77" s="34">
        <v>2</v>
      </c>
      <c r="E77" s="35">
        <v>44398</v>
      </c>
      <c r="F77" s="35" t="s">
        <v>262</v>
      </c>
      <c r="G77" s="34">
        <v>314</v>
      </c>
      <c r="H77" s="82">
        <v>2</v>
      </c>
      <c r="I77" s="87" t="s">
        <v>201</v>
      </c>
      <c r="J77" s="34">
        <v>1</v>
      </c>
      <c r="K77" s="34">
        <v>0</v>
      </c>
      <c r="L77" s="34">
        <v>2</v>
      </c>
      <c r="M77" s="34">
        <v>1</v>
      </c>
      <c r="N77" s="34">
        <v>1</v>
      </c>
      <c r="O77" s="34"/>
      <c r="Q77" s="8" t="s">
        <v>125</v>
      </c>
      <c r="R77" s="8" t="s">
        <v>129</v>
      </c>
      <c r="S77" s="8" t="s">
        <v>129</v>
      </c>
      <c r="T77" s="11" t="s">
        <v>129</v>
      </c>
      <c r="U77" s="11" t="s">
        <v>126</v>
      </c>
      <c r="V77" s="11" t="s">
        <v>129</v>
      </c>
      <c r="W77" s="11" t="s">
        <v>126</v>
      </c>
      <c r="X77" s="8" t="s">
        <v>383</v>
      </c>
      <c r="Y77" s="11" t="s">
        <v>129</v>
      </c>
      <c r="Z77" s="26" t="s">
        <v>126</v>
      </c>
      <c r="AA77" s="178">
        <v>1</v>
      </c>
      <c r="AB77" s="178" t="s">
        <v>1044</v>
      </c>
      <c r="AC77" s="43" t="s">
        <v>467</v>
      </c>
      <c r="AD77" s="43" t="s">
        <v>467</v>
      </c>
      <c r="AE77" s="43"/>
      <c r="AF77" s="52"/>
      <c r="AG77" s="43"/>
      <c r="AH77" s="52" t="s">
        <v>761</v>
      </c>
      <c r="AI77" s="43"/>
      <c r="AJ77" s="52"/>
      <c r="AK77" s="102" t="s">
        <v>129</v>
      </c>
      <c r="AL77" s="102" t="s">
        <v>129</v>
      </c>
      <c r="AM77" s="142"/>
      <c r="AN77" s="142"/>
      <c r="AO77" s="150"/>
      <c r="AP77" s="34">
        <v>1</v>
      </c>
      <c r="AQ77" s="34"/>
      <c r="AR77" s="34"/>
      <c r="AS77" s="34" t="s">
        <v>380</v>
      </c>
      <c r="AT77" s="34">
        <v>1</v>
      </c>
      <c r="AU77" s="34" t="s">
        <v>210</v>
      </c>
      <c r="AV77" s="34" t="s">
        <v>106</v>
      </c>
      <c r="AW77" s="34">
        <v>1</v>
      </c>
      <c r="AX77" s="34">
        <v>0</v>
      </c>
      <c r="AY77" s="34">
        <v>1</v>
      </c>
      <c r="AZ77" s="34">
        <v>2</v>
      </c>
      <c r="BA77" s="34" t="s">
        <v>381</v>
      </c>
      <c r="BB77" s="109" t="s">
        <v>129</v>
      </c>
      <c r="BC77" s="109" t="s">
        <v>129</v>
      </c>
      <c r="BF77" s="169" t="s">
        <v>108</v>
      </c>
      <c r="BG77" s="169" t="s">
        <v>108</v>
      </c>
      <c r="BJ77" s="60" t="s">
        <v>357</v>
      </c>
      <c r="BL77" s="60" t="s">
        <v>357</v>
      </c>
      <c r="BP77" s="60" t="s">
        <v>357</v>
      </c>
      <c r="BQ77" s="128" t="s">
        <v>677</v>
      </c>
      <c r="BR77" s="128">
        <f>68/368</f>
        <v>0.18478260869565216</v>
      </c>
      <c r="BT77" s="60" t="s">
        <v>357</v>
      </c>
      <c r="BV77" s="128" t="s">
        <v>609</v>
      </c>
      <c r="BW77" s="128">
        <f>0/585</f>
        <v>0</v>
      </c>
      <c r="BX77" s="71" t="s">
        <v>750</v>
      </c>
      <c r="BY77">
        <v>174</v>
      </c>
      <c r="BZ77" t="s">
        <v>714</v>
      </c>
      <c r="CA77">
        <v>2</v>
      </c>
      <c r="CC77" s="5">
        <v>44665</v>
      </c>
      <c r="CD77" t="s">
        <v>503</v>
      </c>
      <c r="CE77">
        <v>1</v>
      </c>
      <c r="CF77" s="56">
        <v>0.10416666666666667</v>
      </c>
      <c r="CG77" s="56">
        <v>0.125</v>
      </c>
      <c r="CH77" t="s">
        <v>583</v>
      </c>
      <c r="CI77" s="56">
        <v>0.20833333333333334</v>
      </c>
      <c r="CJ77" t="s">
        <v>560</v>
      </c>
      <c r="CK77">
        <v>1</v>
      </c>
      <c r="CL77" t="s">
        <v>210</v>
      </c>
      <c r="CM77" s="56" t="s">
        <v>223</v>
      </c>
      <c r="CN77">
        <v>1</v>
      </c>
      <c r="CO77" t="s">
        <v>126</v>
      </c>
      <c r="CP77">
        <v>1</v>
      </c>
      <c r="CQ77" t="s">
        <v>126</v>
      </c>
      <c r="CR77" t="s">
        <v>736</v>
      </c>
      <c r="CS77" s="133" t="s">
        <v>129</v>
      </c>
      <c r="CT77" s="133" t="s">
        <v>129</v>
      </c>
      <c r="CU77" s="147"/>
      <c r="CX77" s="171" t="s">
        <v>768</v>
      </c>
      <c r="CY77" s="170" t="s">
        <v>855</v>
      </c>
      <c r="DB77" s="173"/>
      <c r="DC77" s="173"/>
      <c r="DD77" s="177" t="s">
        <v>424</v>
      </c>
      <c r="DE77" s="177"/>
      <c r="DF77" s="173"/>
      <c r="DG77" s="173"/>
      <c r="DH77" s="177" t="s">
        <v>424</v>
      </c>
      <c r="DI77" s="177"/>
      <c r="DJ77" s="173"/>
      <c r="DK77" s="173"/>
      <c r="DL77" s="177" t="s">
        <v>424</v>
      </c>
      <c r="DM77" s="177"/>
    </row>
    <row r="78" spans="1:117" x14ac:dyDescent="0.3">
      <c r="A78" s="64">
        <v>75</v>
      </c>
      <c r="B78" s="34" t="s">
        <v>385</v>
      </c>
      <c r="C78" s="34">
        <v>3</v>
      </c>
      <c r="D78" s="34"/>
      <c r="E78" s="35">
        <v>44400</v>
      </c>
      <c r="F78" s="35" t="s">
        <v>386</v>
      </c>
      <c r="G78" s="34">
        <v>298</v>
      </c>
      <c r="H78" s="82">
        <v>2</v>
      </c>
      <c r="I78" s="87" t="s">
        <v>201</v>
      </c>
      <c r="J78" s="34">
        <v>1</v>
      </c>
      <c r="K78" s="34">
        <v>0</v>
      </c>
      <c r="L78" s="34">
        <v>2</v>
      </c>
      <c r="M78" s="34">
        <v>1</v>
      </c>
      <c r="N78" s="34">
        <v>1</v>
      </c>
      <c r="O78" s="34" t="s">
        <v>405</v>
      </c>
      <c r="Q78" s="8" t="s">
        <v>125</v>
      </c>
      <c r="R78" s="8" t="s">
        <v>126</v>
      </c>
      <c r="S78" s="8" t="s">
        <v>129</v>
      </c>
      <c r="T78" s="11" t="s">
        <v>129</v>
      </c>
      <c r="U78" s="11" t="s">
        <v>419</v>
      </c>
      <c r="V78" s="11" t="s">
        <v>129</v>
      </c>
      <c r="W78" s="11" t="s">
        <v>126</v>
      </c>
      <c r="Y78" s="11" t="s">
        <v>129</v>
      </c>
      <c r="Z78" s="26" t="s">
        <v>126</v>
      </c>
      <c r="AA78" s="26" t="s">
        <v>1014</v>
      </c>
      <c r="AC78" s="43" t="s">
        <v>467</v>
      </c>
      <c r="AD78" s="43" t="s">
        <v>467</v>
      </c>
      <c r="AE78" s="43"/>
      <c r="AF78" s="52"/>
      <c r="AG78" s="43"/>
      <c r="AH78" s="52" t="s">
        <v>761</v>
      </c>
      <c r="AI78" s="43"/>
      <c r="AJ78" s="52"/>
      <c r="AK78" s="102" t="s">
        <v>129</v>
      </c>
      <c r="AL78" s="102" t="s">
        <v>126</v>
      </c>
      <c r="AP78" s="34">
        <v>1</v>
      </c>
      <c r="AQ78" s="34" t="s">
        <v>342</v>
      </c>
      <c r="AR78" s="41">
        <v>0.20833333333333334</v>
      </c>
      <c r="AS78" s="34" t="s">
        <v>237</v>
      </c>
      <c r="AT78" s="34">
        <v>1</v>
      </c>
      <c r="AU78" s="34" t="s">
        <v>116</v>
      </c>
      <c r="AV78" s="34" t="s">
        <v>106</v>
      </c>
      <c r="AW78" s="34">
        <v>2</v>
      </c>
      <c r="AX78" s="34" t="s">
        <v>408</v>
      </c>
      <c r="AY78" s="34">
        <v>2</v>
      </c>
      <c r="AZ78" s="34">
        <v>1</v>
      </c>
      <c r="BA78" s="34"/>
      <c r="BB78" s="109" t="s">
        <v>129</v>
      </c>
      <c r="BC78" s="109" t="s">
        <v>129</v>
      </c>
      <c r="BF78" s="169" t="s">
        <v>768</v>
      </c>
      <c r="BG78" s="167" t="s">
        <v>808</v>
      </c>
      <c r="BJ78" s="60" t="s">
        <v>357</v>
      </c>
      <c r="BK78" s="75" t="s">
        <v>426</v>
      </c>
      <c r="BO78" s="60" t="s">
        <v>357</v>
      </c>
      <c r="BS78" s="81" t="s">
        <v>273</v>
      </c>
      <c r="BT78" t="s">
        <v>273</v>
      </c>
      <c r="BU78" t="s">
        <v>273</v>
      </c>
      <c r="BX78" s="135"/>
      <c r="BY78" s="135"/>
      <c r="BZ78" s="135"/>
      <c r="CA78" s="135"/>
      <c r="CB78" s="135"/>
      <c r="CC78" s="135"/>
      <c r="CD78" s="135"/>
      <c r="CE78" s="135"/>
      <c r="CF78" s="135"/>
      <c r="CG78" s="135"/>
      <c r="CH78" s="135"/>
      <c r="CI78" s="135"/>
      <c r="CJ78" s="135"/>
      <c r="CK78" s="135"/>
      <c r="CL78" s="135"/>
      <c r="CM78" s="135"/>
      <c r="CN78" s="135"/>
      <c r="CO78" s="135"/>
      <c r="CP78" s="135"/>
      <c r="CQ78" s="135"/>
      <c r="CR78" s="135"/>
      <c r="CS78" s="135"/>
      <c r="CT78" s="135"/>
      <c r="CX78" s="171" t="s">
        <v>108</v>
      </c>
      <c r="CY78" s="170" t="s">
        <v>108</v>
      </c>
      <c r="DB78" s="135"/>
      <c r="DC78" s="135"/>
      <c r="DD78" s="135"/>
      <c r="DE78" s="135"/>
      <c r="DF78" s="135"/>
      <c r="DG78" s="135"/>
      <c r="DH78" s="135"/>
      <c r="DI78" s="135"/>
      <c r="DJ78" s="135"/>
      <c r="DK78" s="135"/>
      <c r="DL78" s="135"/>
      <c r="DM78" s="135"/>
    </row>
    <row r="79" spans="1:117" x14ac:dyDescent="0.3">
      <c r="A79" s="64">
        <v>76</v>
      </c>
      <c r="B79" s="34" t="s">
        <v>387</v>
      </c>
      <c r="C79" s="34">
        <v>4</v>
      </c>
      <c r="D79" s="34"/>
      <c r="E79" s="35">
        <v>44405</v>
      </c>
      <c r="F79" s="35" t="s">
        <v>388</v>
      </c>
      <c r="G79" s="34">
        <v>300</v>
      </c>
      <c r="H79" s="82">
        <v>2</v>
      </c>
      <c r="I79" s="87" t="s">
        <v>201</v>
      </c>
      <c r="J79" s="34">
        <v>1</v>
      </c>
      <c r="K79" s="34">
        <v>0</v>
      </c>
      <c r="L79" s="34">
        <v>2</v>
      </c>
      <c r="M79" s="34">
        <v>1</v>
      </c>
      <c r="N79" s="34">
        <v>1</v>
      </c>
      <c r="O79" s="34"/>
      <c r="Q79" s="8" t="s">
        <v>125</v>
      </c>
      <c r="R79" s="8" t="s">
        <v>129</v>
      </c>
      <c r="S79" s="8" t="s">
        <v>129</v>
      </c>
      <c r="T79" s="11" t="s">
        <v>129</v>
      </c>
      <c r="U79" s="11" t="s">
        <v>126</v>
      </c>
      <c r="V79" s="11" t="s">
        <v>129</v>
      </c>
      <c r="W79" s="11" t="s">
        <v>126</v>
      </c>
      <c r="Y79" s="11" t="s">
        <v>129</v>
      </c>
      <c r="Z79" s="26" t="s">
        <v>126</v>
      </c>
      <c r="AA79" s="26" t="s">
        <v>1015</v>
      </c>
      <c r="AC79" s="43" t="s">
        <v>467</v>
      </c>
      <c r="AD79" s="43" t="s">
        <v>467</v>
      </c>
      <c r="AE79" s="43"/>
      <c r="AF79" s="52"/>
      <c r="AG79" s="43"/>
      <c r="AH79" s="52" t="s">
        <v>761</v>
      </c>
      <c r="AI79" s="43"/>
      <c r="AJ79" s="52"/>
      <c r="AK79" s="102" t="s">
        <v>126</v>
      </c>
      <c r="AL79" s="145" t="s">
        <v>129</v>
      </c>
      <c r="AP79" s="34">
        <v>1</v>
      </c>
      <c r="AQ79" s="34" t="s">
        <v>346</v>
      </c>
      <c r="AR79" s="41">
        <v>0.20833333333333334</v>
      </c>
      <c r="AS79" s="34" t="s">
        <v>237</v>
      </c>
      <c r="AT79" s="34">
        <v>1</v>
      </c>
      <c r="AU79" s="34" t="s">
        <v>210</v>
      </c>
      <c r="AV79" s="34" t="s">
        <v>409</v>
      </c>
      <c r="AW79" s="34">
        <v>1</v>
      </c>
      <c r="AX79" s="34">
        <v>1</v>
      </c>
      <c r="AY79" s="34">
        <v>2</v>
      </c>
      <c r="AZ79" s="34">
        <v>2</v>
      </c>
      <c r="BA79" s="34" t="s">
        <v>410</v>
      </c>
      <c r="BB79" s="109" t="s">
        <v>129</v>
      </c>
      <c r="BC79" s="109" t="s">
        <v>129</v>
      </c>
      <c r="BF79" s="167" t="s">
        <v>809</v>
      </c>
      <c r="BG79" s="167" t="s">
        <v>797</v>
      </c>
      <c r="BH79" s="40" t="s">
        <v>424</v>
      </c>
      <c r="BI79" t="s">
        <v>424</v>
      </c>
      <c r="BJ79" t="s">
        <v>424</v>
      </c>
      <c r="BK79" t="s">
        <v>424</v>
      </c>
      <c r="BL79" t="s">
        <v>424</v>
      </c>
      <c r="BM79" t="s">
        <v>424</v>
      </c>
      <c r="BO79" s="75" t="s">
        <v>426</v>
      </c>
      <c r="BQ79" s="127" t="s">
        <v>678</v>
      </c>
      <c r="BR79" s="127">
        <f>252/370</f>
        <v>0.68108108108108112</v>
      </c>
      <c r="BT79" s="60" t="s">
        <v>357</v>
      </c>
      <c r="BV79" s="126" t="s">
        <v>679</v>
      </c>
      <c r="BW79" s="126">
        <f>0/681</f>
        <v>0</v>
      </c>
      <c r="BX79" s="137"/>
      <c r="BY79">
        <v>176</v>
      </c>
      <c r="BZ79" t="s">
        <v>717</v>
      </c>
      <c r="CA79">
        <v>4</v>
      </c>
      <c r="CC79" s="5">
        <v>44686</v>
      </c>
      <c r="CD79" t="s">
        <v>503</v>
      </c>
      <c r="CE79">
        <v>1</v>
      </c>
      <c r="CF79" s="56">
        <v>0.10416666666666667</v>
      </c>
      <c r="CG79" s="56">
        <v>0.125</v>
      </c>
      <c r="CH79" t="s">
        <v>583</v>
      </c>
      <c r="CI79" s="56">
        <v>0.20833333333333334</v>
      </c>
      <c r="CJ79" t="s">
        <v>89</v>
      </c>
      <c r="CK79">
        <v>1</v>
      </c>
      <c r="CL79" t="s">
        <v>105</v>
      </c>
      <c r="CM79" s="56" t="s">
        <v>211</v>
      </c>
      <c r="CN79">
        <v>1</v>
      </c>
      <c r="CO79" t="s">
        <v>126</v>
      </c>
      <c r="CP79">
        <v>1</v>
      </c>
      <c r="CQ79">
        <v>1</v>
      </c>
      <c r="CR79" t="s">
        <v>740</v>
      </c>
      <c r="CS79" s="134" t="s">
        <v>129</v>
      </c>
      <c r="CT79" s="134" t="s">
        <v>129</v>
      </c>
      <c r="CU79" s="147"/>
      <c r="CX79" s="171" t="s">
        <v>768</v>
      </c>
      <c r="CY79" s="170" t="s">
        <v>856</v>
      </c>
      <c r="DB79" t="s">
        <v>977</v>
      </c>
      <c r="DC79" s="175">
        <f>22/228</f>
        <v>9.6491228070175433E-2</v>
      </c>
      <c r="DD79" t="s">
        <v>978</v>
      </c>
      <c r="DE79" s="174">
        <f>265/497</f>
        <v>0.53319919517102621</v>
      </c>
      <c r="DF79" t="s">
        <v>973</v>
      </c>
      <c r="DG79" s="175">
        <f>9/275</f>
        <v>3.272727272727273E-2</v>
      </c>
      <c r="DH79" t="s">
        <v>974</v>
      </c>
      <c r="DI79" s="174">
        <f>348/576</f>
        <v>0.60416666666666663</v>
      </c>
      <c r="DJ79" t="s">
        <v>975</v>
      </c>
      <c r="DK79" s="175">
        <f>24/487</f>
        <v>4.9281314168377825E-2</v>
      </c>
      <c r="DL79" t="s">
        <v>976</v>
      </c>
      <c r="DM79" s="175">
        <f>56/731</f>
        <v>7.6607387140902872E-2</v>
      </c>
    </row>
    <row r="80" spans="1:117" x14ac:dyDescent="0.3">
      <c r="A80" s="64">
        <v>77</v>
      </c>
      <c r="B80" s="34" t="s">
        <v>389</v>
      </c>
      <c r="C80" s="34">
        <v>5</v>
      </c>
      <c r="D80" s="34" t="s">
        <v>390</v>
      </c>
      <c r="E80" s="35">
        <v>44406</v>
      </c>
      <c r="F80" s="35" t="s">
        <v>192</v>
      </c>
      <c r="G80" s="34">
        <v>310</v>
      </c>
      <c r="H80" s="82">
        <v>1</v>
      </c>
      <c r="I80" s="16" t="s">
        <v>200</v>
      </c>
      <c r="J80" s="34">
        <v>1</v>
      </c>
      <c r="K80" s="34">
        <v>0</v>
      </c>
      <c r="L80" s="34">
        <v>2</v>
      </c>
      <c r="M80" s="34">
        <v>1</v>
      </c>
      <c r="N80" s="34">
        <v>1</v>
      </c>
      <c r="O80" s="34"/>
      <c r="Q80" s="8" t="s">
        <v>125</v>
      </c>
      <c r="R80" s="8" t="s">
        <v>129</v>
      </c>
      <c r="S80" s="8" t="s">
        <v>129</v>
      </c>
      <c r="T80" s="11" t="s">
        <v>129</v>
      </c>
      <c r="U80" s="11" t="s">
        <v>126</v>
      </c>
      <c r="V80" s="11" t="s">
        <v>129</v>
      </c>
      <c r="W80" s="11" t="s">
        <v>126</v>
      </c>
      <c r="Y80" s="11" t="s">
        <v>129</v>
      </c>
      <c r="Z80" s="26" t="s">
        <v>126</v>
      </c>
      <c r="AA80" s="26" t="s">
        <v>1014</v>
      </c>
      <c r="AC80" s="43" t="s">
        <v>467</v>
      </c>
      <c r="AD80" s="43" t="s">
        <v>467</v>
      </c>
      <c r="AE80" s="43"/>
      <c r="AF80" s="52"/>
      <c r="AG80" s="43"/>
      <c r="AH80" s="52" t="s">
        <v>761</v>
      </c>
      <c r="AI80" s="43"/>
      <c r="AJ80" s="52"/>
      <c r="AK80" s="102" t="s">
        <v>129</v>
      </c>
      <c r="AL80" s="145" t="s">
        <v>129</v>
      </c>
      <c r="AP80" s="34">
        <v>1</v>
      </c>
      <c r="AQ80" s="41">
        <v>0.10416666666666667</v>
      </c>
      <c r="AR80" s="41">
        <v>0.20833333333333334</v>
      </c>
      <c r="AS80" s="34" t="s">
        <v>237</v>
      </c>
      <c r="AT80" s="34">
        <v>1</v>
      </c>
      <c r="AU80" s="34" t="s">
        <v>210</v>
      </c>
      <c r="AV80" s="34" t="s">
        <v>106</v>
      </c>
      <c r="AW80" s="34">
        <v>1</v>
      </c>
      <c r="AX80" s="34">
        <v>1</v>
      </c>
      <c r="AY80" s="34">
        <v>2</v>
      </c>
      <c r="AZ80" s="34">
        <v>2</v>
      </c>
      <c r="BA80" s="34" t="s">
        <v>411</v>
      </c>
      <c r="BB80" s="109" t="s">
        <v>129</v>
      </c>
      <c r="BC80" s="109" t="s">
        <v>129</v>
      </c>
      <c r="BF80" s="167" t="s">
        <v>810</v>
      </c>
      <c r="BG80" s="167" t="s">
        <v>811</v>
      </c>
      <c r="BI80" s="60" t="s">
        <v>357</v>
      </c>
      <c r="BK80" s="75" t="s">
        <v>426</v>
      </c>
      <c r="BO80" s="60" t="s">
        <v>357</v>
      </c>
      <c r="BQ80" s="126" t="s">
        <v>680</v>
      </c>
      <c r="BR80" s="126">
        <f>4/496</f>
        <v>8.0645161290322578E-3</v>
      </c>
      <c r="BT80" s="60" t="s">
        <v>357</v>
      </c>
      <c r="BV80" s="127" t="s">
        <v>681</v>
      </c>
      <c r="BW80" s="127">
        <f>95/396</f>
        <v>0.23989898989898989</v>
      </c>
      <c r="BX80" s="137"/>
      <c r="BY80">
        <v>177</v>
      </c>
      <c r="BZ80" t="s">
        <v>714</v>
      </c>
      <c r="CA80">
        <v>5</v>
      </c>
      <c r="CC80" s="5">
        <v>44665</v>
      </c>
      <c r="CD80" t="s">
        <v>515</v>
      </c>
      <c r="CE80">
        <v>1</v>
      </c>
      <c r="CF80" s="56">
        <v>0.10416666666666667</v>
      </c>
      <c r="CG80" s="56">
        <v>0.125</v>
      </c>
      <c r="CH80" t="s">
        <v>583</v>
      </c>
      <c r="CI80" s="56">
        <v>0.20833333333333334</v>
      </c>
      <c r="CJ80" t="s">
        <v>560</v>
      </c>
      <c r="CK80">
        <v>1</v>
      </c>
      <c r="CL80" t="s">
        <v>105</v>
      </c>
      <c r="CM80" s="56" t="s">
        <v>223</v>
      </c>
      <c r="CN80">
        <v>2</v>
      </c>
      <c r="CO80" t="s">
        <v>126</v>
      </c>
      <c r="CP80" s="116">
        <v>44593</v>
      </c>
      <c r="CQ80" t="s">
        <v>126</v>
      </c>
      <c r="CR80" t="s">
        <v>737</v>
      </c>
      <c r="CS80" s="134" t="s">
        <v>129</v>
      </c>
      <c r="CT80" s="134" t="s">
        <v>129</v>
      </c>
      <c r="CU80" s="147"/>
      <c r="CX80" s="171" t="s">
        <v>108</v>
      </c>
      <c r="CY80" s="170" t="s">
        <v>108</v>
      </c>
      <c r="DB80" s="173"/>
      <c r="DC80" s="173"/>
      <c r="DD80" s="177" t="s">
        <v>424</v>
      </c>
      <c r="DE80" s="177"/>
      <c r="DF80" s="173"/>
      <c r="DG80" s="173"/>
      <c r="DH80" s="177" t="s">
        <v>424</v>
      </c>
      <c r="DI80" s="177"/>
      <c r="DJ80" s="173"/>
      <c r="DK80" s="173"/>
      <c r="DL80" s="177" t="s">
        <v>424</v>
      </c>
      <c r="DM80" s="177"/>
    </row>
    <row r="81" spans="1:117" x14ac:dyDescent="0.3">
      <c r="A81" s="64">
        <v>78</v>
      </c>
      <c r="B81" s="34" t="s">
        <v>391</v>
      </c>
      <c r="C81" s="34">
        <v>6</v>
      </c>
      <c r="D81" s="34"/>
      <c r="E81" s="35">
        <v>44406</v>
      </c>
      <c r="F81" s="35" t="s">
        <v>279</v>
      </c>
      <c r="G81" s="34">
        <v>304</v>
      </c>
      <c r="H81" s="82">
        <v>1</v>
      </c>
      <c r="I81" s="16" t="s">
        <v>200</v>
      </c>
      <c r="J81" s="34">
        <v>1</v>
      </c>
      <c r="K81" s="34">
        <v>0</v>
      </c>
      <c r="L81" s="34">
        <v>2</v>
      </c>
      <c r="M81" s="34">
        <v>1</v>
      </c>
      <c r="N81" s="34">
        <v>1</v>
      </c>
      <c r="O81" s="34"/>
      <c r="Q81" s="8" t="s">
        <v>125</v>
      </c>
      <c r="R81" s="8" t="s">
        <v>129</v>
      </c>
      <c r="S81" s="8" t="s">
        <v>129</v>
      </c>
      <c r="T81" s="11" t="s">
        <v>129</v>
      </c>
      <c r="U81" s="11" t="s">
        <v>126</v>
      </c>
      <c r="V81" s="11" t="s">
        <v>129</v>
      </c>
      <c r="W81" s="11" t="s">
        <v>126</v>
      </c>
      <c r="X81" s="8" t="s">
        <v>420</v>
      </c>
      <c r="Y81" s="11" t="s">
        <v>129</v>
      </c>
      <c r="Z81" s="26" t="s">
        <v>126</v>
      </c>
      <c r="AA81" s="26" t="s">
        <v>1014</v>
      </c>
      <c r="AC81" s="43" t="s">
        <v>467</v>
      </c>
      <c r="AD81" s="52" t="s">
        <v>467</v>
      </c>
      <c r="AE81" s="43"/>
      <c r="AF81" s="52"/>
      <c r="AG81" s="43"/>
      <c r="AH81" s="52" t="s">
        <v>761</v>
      </c>
      <c r="AI81" s="43"/>
      <c r="AJ81" s="52"/>
      <c r="AK81" s="102" t="s">
        <v>129</v>
      </c>
      <c r="AL81" s="102" t="s">
        <v>126</v>
      </c>
      <c r="AP81" s="34">
        <v>1</v>
      </c>
      <c r="AQ81" s="34" t="s">
        <v>412</v>
      </c>
      <c r="AR81" s="34" t="s">
        <v>413</v>
      </c>
      <c r="AS81" s="34" t="s">
        <v>237</v>
      </c>
      <c r="AT81" s="34">
        <v>1</v>
      </c>
      <c r="AU81" s="34" t="s">
        <v>210</v>
      </c>
      <c r="AV81" s="34" t="s">
        <v>223</v>
      </c>
      <c r="AW81" s="34">
        <v>1</v>
      </c>
      <c r="AX81" s="34">
        <v>1</v>
      </c>
      <c r="AY81" s="34">
        <v>0</v>
      </c>
      <c r="AZ81" s="34">
        <v>1</v>
      </c>
      <c r="BA81" s="34" t="s">
        <v>414</v>
      </c>
      <c r="BB81" s="109" t="s">
        <v>129</v>
      </c>
      <c r="BC81" s="109" t="s">
        <v>129</v>
      </c>
      <c r="BF81" s="167" t="s">
        <v>812</v>
      </c>
      <c r="BG81" s="167" t="s">
        <v>813</v>
      </c>
      <c r="BH81" s="59" t="s">
        <v>429</v>
      </c>
      <c r="BK81" s="60" t="s">
        <v>429</v>
      </c>
      <c r="BN81" s="59" t="s">
        <v>429</v>
      </c>
      <c r="BS81" s="81" t="s">
        <v>273</v>
      </c>
      <c r="BT81" t="s">
        <v>273</v>
      </c>
      <c r="BU81" t="s">
        <v>273</v>
      </c>
      <c r="BV81" s="202" t="s">
        <v>999</v>
      </c>
      <c r="BW81" s="203"/>
      <c r="BX81" s="135"/>
      <c r="BY81" s="135"/>
      <c r="BZ81" s="135"/>
      <c r="CA81" s="135"/>
      <c r="CB81" s="135"/>
      <c r="CC81" s="135"/>
      <c r="CD81" s="135"/>
      <c r="CE81" s="135"/>
      <c r="CF81" s="135"/>
      <c r="CG81" s="135"/>
      <c r="CH81" s="135"/>
      <c r="CI81" s="135"/>
      <c r="CJ81" s="135"/>
      <c r="CK81" s="135"/>
      <c r="CL81" s="135"/>
      <c r="CM81" s="135"/>
      <c r="CN81" s="135"/>
      <c r="CO81" s="135"/>
      <c r="CP81" s="135"/>
      <c r="CQ81" s="135"/>
      <c r="CR81" s="135"/>
      <c r="CS81" s="135"/>
      <c r="CT81" s="135"/>
      <c r="CX81" s="171" t="s">
        <v>108</v>
      </c>
      <c r="CY81" s="170" t="s">
        <v>108</v>
      </c>
      <c r="DB81" s="135"/>
      <c r="DC81" s="135"/>
      <c r="DD81" s="135"/>
      <c r="DE81" s="135"/>
      <c r="DF81" s="135"/>
      <c r="DG81" s="135"/>
      <c r="DH81" s="135"/>
      <c r="DI81" s="135"/>
      <c r="DJ81" s="135"/>
      <c r="DK81" s="135"/>
      <c r="DL81" s="135"/>
      <c r="DM81" s="135"/>
    </row>
    <row r="82" spans="1:117" x14ac:dyDescent="0.3">
      <c r="A82" s="64">
        <v>79</v>
      </c>
      <c r="B82" s="34" t="s">
        <v>392</v>
      </c>
      <c r="C82" s="34">
        <v>7</v>
      </c>
      <c r="D82" s="34"/>
      <c r="E82" s="35">
        <v>44410</v>
      </c>
      <c r="F82" s="35" t="s">
        <v>460</v>
      </c>
      <c r="G82" s="34">
        <v>297</v>
      </c>
      <c r="H82" s="82">
        <v>1</v>
      </c>
      <c r="I82" s="16" t="s">
        <v>200</v>
      </c>
      <c r="J82" s="34">
        <v>1</v>
      </c>
      <c r="K82" s="34">
        <v>0</v>
      </c>
      <c r="L82" s="34">
        <v>2</v>
      </c>
      <c r="M82" s="34">
        <v>1</v>
      </c>
      <c r="N82" s="34">
        <v>1</v>
      </c>
      <c r="O82" s="34"/>
      <c r="Q82" s="8" t="s">
        <v>125</v>
      </c>
      <c r="R82" s="8" t="s">
        <v>126</v>
      </c>
      <c r="S82" s="8" t="s">
        <v>129</v>
      </c>
      <c r="T82" s="11" t="s">
        <v>129</v>
      </c>
      <c r="U82" s="11" t="s">
        <v>126</v>
      </c>
      <c r="V82" s="11" t="s">
        <v>129</v>
      </c>
      <c r="W82" s="11" t="s">
        <v>126</v>
      </c>
      <c r="X82" s="8" t="s">
        <v>421</v>
      </c>
      <c r="Y82" s="11" t="s">
        <v>129</v>
      </c>
      <c r="Z82" s="26" t="s">
        <v>126</v>
      </c>
      <c r="AA82" s="26" t="s">
        <v>1015</v>
      </c>
      <c r="AC82" s="43" t="s">
        <v>467</v>
      </c>
      <c r="AD82" s="52" t="s">
        <v>467</v>
      </c>
      <c r="AE82" s="43"/>
      <c r="AF82" s="52"/>
      <c r="AG82" s="43"/>
      <c r="AH82" s="52" t="s">
        <v>761</v>
      </c>
      <c r="AI82" s="43"/>
      <c r="AJ82" s="52"/>
      <c r="AK82" s="102" t="s">
        <v>129</v>
      </c>
      <c r="AL82" s="145" t="s">
        <v>129</v>
      </c>
      <c r="AP82" s="34">
        <v>1</v>
      </c>
      <c r="AQ82" s="41">
        <v>7.4999999999999997E-2</v>
      </c>
      <c r="AR82" s="41">
        <v>0.11875000000000001</v>
      </c>
      <c r="AS82" s="34" t="s">
        <v>237</v>
      </c>
      <c r="AT82" s="34">
        <v>1</v>
      </c>
      <c r="AU82" s="34" t="s">
        <v>116</v>
      </c>
      <c r="AV82" s="34" t="s">
        <v>211</v>
      </c>
      <c r="AW82" s="34">
        <v>1</v>
      </c>
      <c r="AX82" s="34">
        <v>1</v>
      </c>
      <c r="AY82" s="34">
        <v>1</v>
      </c>
      <c r="AZ82" s="34">
        <v>1</v>
      </c>
      <c r="BA82" s="34"/>
      <c r="BB82" s="109" t="s">
        <v>129</v>
      </c>
      <c r="BC82" s="109" t="s">
        <v>129</v>
      </c>
      <c r="BF82" s="169" t="s">
        <v>768</v>
      </c>
      <c r="BG82" s="167" t="s">
        <v>788</v>
      </c>
      <c r="BH82" s="59" t="s">
        <v>357</v>
      </c>
      <c r="BL82" s="60" t="s">
        <v>357</v>
      </c>
      <c r="BO82" s="60" t="s">
        <v>357</v>
      </c>
      <c r="BQ82" s="127" t="s">
        <v>682</v>
      </c>
      <c r="BR82" s="127">
        <f>76/229</f>
        <v>0.33187772925764192</v>
      </c>
      <c r="BT82" s="60" t="s">
        <v>357</v>
      </c>
      <c r="BV82" s="126" t="s">
        <v>683</v>
      </c>
      <c r="BW82" s="126">
        <f>12/391</f>
        <v>3.0690537084398978E-2</v>
      </c>
      <c r="BX82" s="71" t="s">
        <v>750</v>
      </c>
      <c r="BY82">
        <v>179</v>
      </c>
      <c r="BZ82" t="s">
        <v>715</v>
      </c>
      <c r="CA82">
        <v>7</v>
      </c>
      <c r="CB82" t="s">
        <v>716</v>
      </c>
      <c r="CC82" s="5">
        <v>44679</v>
      </c>
      <c r="CE82">
        <v>1</v>
      </c>
      <c r="CF82" s="56">
        <v>0.10416666666666667</v>
      </c>
      <c r="CG82" s="56">
        <v>0.125</v>
      </c>
      <c r="CH82" t="s">
        <v>583</v>
      </c>
      <c r="CI82" s="56">
        <v>0.20833333333333334</v>
      </c>
      <c r="CJ82" t="s">
        <v>560</v>
      </c>
      <c r="CK82">
        <v>1</v>
      </c>
      <c r="CL82" t="s">
        <v>116</v>
      </c>
      <c r="CM82" s="56" t="s">
        <v>738</v>
      </c>
      <c r="CN82">
        <v>2</v>
      </c>
      <c r="CO82">
        <v>0</v>
      </c>
      <c r="CP82">
        <v>2</v>
      </c>
      <c r="CQ82">
        <v>1</v>
      </c>
      <c r="CR82" t="s">
        <v>739</v>
      </c>
      <c r="CS82" s="134" t="s">
        <v>129</v>
      </c>
      <c r="CT82" s="134" t="s">
        <v>129</v>
      </c>
      <c r="CU82" s="147"/>
      <c r="CX82" s="171" t="s">
        <v>768</v>
      </c>
      <c r="CY82" s="170" t="s">
        <v>857</v>
      </c>
      <c r="DB82" t="s">
        <v>983</v>
      </c>
      <c r="DC82" s="175">
        <f>27/180</f>
        <v>0.15</v>
      </c>
      <c r="DD82" t="s">
        <v>984</v>
      </c>
      <c r="DE82" s="175">
        <f>7/319</f>
        <v>2.1943573667711599E-2</v>
      </c>
      <c r="DF82" t="s">
        <v>979</v>
      </c>
      <c r="DG82" s="175">
        <f>37/225</f>
        <v>0.16444444444444445</v>
      </c>
      <c r="DH82" t="s">
        <v>980</v>
      </c>
      <c r="DI82" s="175">
        <f>3/355</f>
        <v>8.4507042253521118E-3</v>
      </c>
      <c r="DJ82" t="s">
        <v>981</v>
      </c>
      <c r="DK82" s="174">
        <f>119/421</f>
        <v>0.28266033254156769</v>
      </c>
      <c r="DL82" t="s">
        <v>982</v>
      </c>
      <c r="DM82" s="175">
        <v>0</v>
      </c>
    </row>
    <row r="83" spans="1:117" x14ac:dyDescent="0.3">
      <c r="A83" s="34">
        <v>80</v>
      </c>
      <c r="B83" s="34" t="s">
        <v>393</v>
      </c>
      <c r="C83" s="34">
        <v>8</v>
      </c>
      <c r="D83" s="34"/>
      <c r="E83" s="35">
        <v>44414</v>
      </c>
      <c r="F83" s="35" t="s">
        <v>394</v>
      </c>
      <c r="G83" s="34">
        <v>299</v>
      </c>
      <c r="H83" s="82">
        <v>2</v>
      </c>
      <c r="I83" s="87" t="s">
        <v>201</v>
      </c>
      <c r="J83" s="34">
        <v>1</v>
      </c>
      <c r="K83" s="34">
        <v>0</v>
      </c>
      <c r="L83" s="34">
        <v>2</v>
      </c>
      <c r="M83" s="34">
        <v>1</v>
      </c>
      <c r="N83" s="34">
        <v>1</v>
      </c>
      <c r="O83" s="34" t="s">
        <v>406</v>
      </c>
      <c r="Q83" s="8" t="s">
        <v>125</v>
      </c>
      <c r="R83" s="8" t="s">
        <v>126</v>
      </c>
      <c r="T83" s="22" t="s">
        <v>126</v>
      </c>
      <c r="W83" s="11" t="s">
        <v>129</v>
      </c>
      <c r="X83" s="9" t="s">
        <v>422</v>
      </c>
      <c r="Y83" s="12" t="s">
        <v>126</v>
      </c>
      <c r="Z83" s="26" t="s">
        <v>126</v>
      </c>
      <c r="AA83" s="26" t="s">
        <v>1006</v>
      </c>
      <c r="AK83" s="26" t="s">
        <v>126</v>
      </c>
      <c r="AL83" s="26" t="s">
        <v>126</v>
      </c>
      <c r="AP83" s="34">
        <v>1</v>
      </c>
      <c r="AQ83" s="34" t="s">
        <v>342</v>
      </c>
      <c r="AR83" s="41">
        <v>0.20833333333333334</v>
      </c>
      <c r="AS83" s="34" t="s">
        <v>237</v>
      </c>
      <c r="AT83" s="34">
        <v>1</v>
      </c>
      <c r="AU83" s="34" t="s">
        <v>116</v>
      </c>
      <c r="AV83" s="34" t="s">
        <v>155</v>
      </c>
      <c r="AW83" s="34">
        <v>2</v>
      </c>
      <c r="AX83" s="34">
        <v>0</v>
      </c>
      <c r="AY83" s="34">
        <v>1</v>
      </c>
      <c r="AZ83" s="34">
        <v>1</v>
      </c>
      <c r="BA83" s="34" t="s">
        <v>415</v>
      </c>
      <c r="BB83" s="33" t="s">
        <v>701</v>
      </c>
      <c r="BC83" s="33" t="s">
        <v>701</v>
      </c>
      <c r="BF83" s="30" t="s">
        <v>768</v>
      </c>
      <c r="BG83" s="166" t="s">
        <v>814</v>
      </c>
      <c r="BQ83" s="183"/>
      <c r="BR83" s="183"/>
      <c r="BV83" s="202" t="s">
        <v>999</v>
      </c>
      <c r="BW83" s="203"/>
      <c r="BX83" s="71" t="s">
        <v>750</v>
      </c>
      <c r="BY83">
        <v>180</v>
      </c>
      <c r="BZ83" t="s">
        <v>721</v>
      </c>
      <c r="CA83">
        <v>8</v>
      </c>
      <c r="CC83" s="5">
        <v>44699</v>
      </c>
      <c r="CE83">
        <v>1</v>
      </c>
      <c r="CF83" t="s">
        <v>742</v>
      </c>
      <c r="CG83" s="56">
        <v>0.125</v>
      </c>
      <c r="CH83" t="s">
        <v>583</v>
      </c>
      <c r="CI83" s="56">
        <v>0.20069444444444443</v>
      </c>
      <c r="CJ83" t="s">
        <v>560</v>
      </c>
      <c r="CK83">
        <v>1</v>
      </c>
      <c r="CL83" t="s">
        <v>116</v>
      </c>
      <c r="CM83" s="56" t="s">
        <v>119</v>
      </c>
      <c r="CN83">
        <v>1</v>
      </c>
      <c r="CO83">
        <v>2</v>
      </c>
      <c r="CP83">
        <v>2</v>
      </c>
      <c r="CQ83">
        <v>0</v>
      </c>
      <c r="CR83" t="s">
        <v>743</v>
      </c>
      <c r="CS83" s="134" t="s">
        <v>129</v>
      </c>
      <c r="CT83" s="134" t="s">
        <v>129</v>
      </c>
      <c r="CU83" s="147"/>
      <c r="CX83" s="171" t="s">
        <v>108</v>
      </c>
      <c r="CY83" s="170" t="s">
        <v>108</v>
      </c>
      <c r="DB83" t="s">
        <v>987</v>
      </c>
      <c r="DC83" s="175">
        <f>27/165</f>
        <v>0.16363636363636364</v>
      </c>
      <c r="DD83" t="s">
        <v>988</v>
      </c>
      <c r="DE83" s="174">
        <f>3228/2410</f>
        <v>1.3394190871369294</v>
      </c>
      <c r="DF83" t="s">
        <v>1000</v>
      </c>
      <c r="DH83" t="s">
        <v>999</v>
      </c>
      <c r="DJ83" t="s">
        <v>985</v>
      </c>
      <c r="DK83" s="175">
        <f>25/431</f>
        <v>5.8004640371229696E-2</v>
      </c>
      <c r="DL83" t="s">
        <v>986</v>
      </c>
      <c r="DM83" s="175">
        <v>0</v>
      </c>
    </row>
    <row r="84" spans="1:117" x14ac:dyDescent="0.3">
      <c r="A84" s="100">
        <v>81</v>
      </c>
      <c r="B84" s="34" t="s">
        <v>395</v>
      </c>
      <c r="C84" s="34">
        <v>1</v>
      </c>
      <c r="D84" s="34"/>
      <c r="E84" s="35">
        <v>44417</v>
      </c>
      <c r="F84" s="35" t="s">
        <v>396</v>
      </c>
      <c r="G84" s="34">
        <v>282</v>
      </c>
      <c r="H84" s="82">
        <v>1</v>
      </c>
      <c r="I84" s="16" t="s">
        <v>200</v>
      </c>
      <c r="J84" s="34">
        <v>1</v>
      </c>
      <c r="K84" s="34">
        <v>0</v>
      </c>
      <c r="L84" s="34">
        <v>1</v>
      </c>
      <c r="M84" s="34">
        <v>1</v>
      </c>
      <c r="N84" s="34">
        <v>1</v>
      </c>
      <c r="O84" s="34"/>
      <c r="Q84" s="8" t="s">
        <v>125</v>
      </c>
      <c r="R84" s="8" t="s">
        <v>129</v>
      </c>
      <c r="S84" s="8" t="s">
        <v>129</v>
      </c>
      <c r="T84" s="11" t="s">
        <v>129</v>
      </c>
      <c r="U84" s="11" t="s">
        <v>126</v>
      </c>
      <c r="V84" s="11" t="s">
        <v>129</v>
      </c>
      <c r="W84" s="11" t="s">
        <v>126</v>
      </c>
      <c r="Y84" s="11" t="s">
        <v>129</v>
      </c>
      <c r="Z84" s="26" t="s">
        <v>129</v>
      </c>
      <c r="AA84" s="26" t="s">
        <v>1018</v>
      </c>
      <c r="AK84" s="26" t="s">
        <v>129</v>
      </c>
      <c r="AL84" s="26" t="s">
        <v>129</v>
      </c>
      <c r="AP84" s="34">
        <v>1</v>
      </c>
      <c r="AQ84" s="41">
        <v>5.7638888888888885E-2</v>
      </c>
      <c r="AR84" s="41">
        <v>0.15277777777777776</v>
      </c>
      <c r="AS84" s="34" t="s">
        <v>237</v>
      </c>
      <c r="AT84" s="34">
        <v>1</v>
      </c>
      <c r="AU84" s="34" t="s">
        <v>292</v>
      </c>
      <c r="AV84" s="34" t="s">
        <v>155</v>
      </c>
      <c r="AW84" s="34">
        <v>1</v>
      </c>
      <c r="AX84" s="34">
        <v>1</v>
      </c>
      <c r="AY84" s="34">
        <v>1</v>
      </c>
      <c r="AZ84" s="34">
        <v>1</v>
      </c>
      <c r="BA84" s="34"/>
      <c r="BB84" s="109" t="s">
        <v>129</v>
      </c>
      <c r="BC84" s="109" t="s">
        <v>129</v>
      </c>
      <c r="BF84" s="166" t="s">
        <v>815</v>
      </c>
      <c r="BG84" s="166" t="s">
        <v>780</v>
      </c>
      <c r="BI84" s="60" t="s">
        <v>357</v>
      </c>
      <c r="BL84" s="60" t="s">
        <v>357</v>
      </c>
      <c r="BO84" s="60" t="s">
        <v>357</v>
      </c>
      <c r="BQ84" s="126" t="s">
        <v>684</v>
      </c>
      <c r="BR84" s="126">
        <f>59/291</f>
        <v>0.20274914089347079</v>
      </c>
      <c r="BT84" s="60" t="s">
        <v>357</v>
      </c>
      <c r="BV84" s="126" t="s">
        <v>685</v>
      </c>
      <c r="BW84" s="126">
        <f>37/466</f>
        <v>7.9399141630901282E-2</v>
      </c>
      <c r="BX84" s="71" t="s">
        <v>750</v>
      </c>
      <c r="BY84">
        <v>181</v>
      </c>
      <c r="BZ84" t="s">
        <v>722</v>
      </c>
      <c r="CA84">
        <v>1</v>
      </c>
      <c r="CC84" s="5">
        <v>44701</v>
      </c>
      <c r="CE84">
        <v>1</v>
      </c>
      <c r="CF84" s="56">
        <v>0.10416666666666667</v>
      </c>
      <c r="CG84" s="56">
        <v>0.125</v>
      </c>
      <c r="CH84" t="s">
        <v>583</v>
      </c>
      <c r="CI84" s="56">
        <v>0.20833333333333334</v>
      </c>
      <c r="CJ84" t="s">
        <v>560</v>
      </c>
      <c r="CK84">
        <v>1</v>
      </c>
      <c r="CL84" t="s">
        <v>111</v>
      </c>
      <c r="CM84" s="56" t="s">
        <v>223</v>
      </c>
      <c r="CN84">
        <v>0</v>
      </c>
      <c r="CO84">
        <v>0</v>
      </c>
      <c r="CP84">
        <v>1</v>
      </c>
      <c r="CQ84">
        <v>1</v>
      </c>
      <c r="CS84" s="134" t="s">
        <v>129</v>
      </c>
      <c r="CT84" s="134" t="s">
        <v>129</v>
      </c>
      <c r="CU84" s="147"/>
      <c r="CX84" s="171" t="s">
        <v>768</v>
      </c>
      <c r="CY84" s="170" t="s">
        <v>794</v>
      </c>
      <c r="DB84" s="173"/>
      <c r="DC84" s="173"/>
      <c r="DD84" s="182" t="s">
        <v>999</v>
      </c>
      <c r="DE84" s="173"/>
      <c r="DF84" s="173"/>
      <c r="DG84" s="173"/>
      <c r="DH84" s="182" t="s">
        <v>999</v>
      </c>
      <c r="DI84" s="173"/>
      <c r="DJ84" s="173"/>
      <c r="DK84" s="173"/>
      <c r="DL84" s="182" t="s">
        <v>999</v>
      </c>
      <c r="DM84" s="173"/>
    </row>
    <row r="85" spans="1:117" x14ac:dyDescent="0.3">
      <c r="A85" s="34">
        <v>82</v>
      </c>
      <c r="B85" s="34" t="s">
        <v>393</v>
      </c>
      <c r="C85" s="34">
        <v>2</v>
      </c>
      <c r="D85" s="34"/>
      <c r="E85" s="35">
        <v>44424</v>
      </c>
      <c r="F85" s="35" t="s">
        <v>397</v>
      </c>
      <c r="G85" s="34">
        <v>286</v>
      </c>
      <c r="H85" s="82">
        <v>2</v>
      </c>
      <c r="I85" s="87" t="s">
        <v>201</v>
      </c>
      <c r="J85" s="34">
        <v>1</v>
      </c>
      <c r="K85" s="34">
        <v>0</v>
      </c>
      <c r="L85" s="34">
        <v>1</v>
      </c>
      <c r="M85" s="34">
        <v>1</v>
      </c>
      <c r="N85" s="34">
        <v>1</v>
      </c>
      <c r="O85" s="34" t="s">
        <v>407</v>
      </c>
      <c r="Q85" s="8" t="s">
        <v>125</v>
      </c>
      <c r="R85" s="8" t="s">
        <v>126</v>
      </c>
      <c r="W85" s="11" t="s">
        <v>129</v>
      </c>
      <c r="X85" s="9" t="s">
        <v>422</v>
      </c>
      <c r="Y85" s="12" t="s">
        <v>126</v>
      </c>
      <c r="Z85" s="26" t="s">
        <v>126</v>
      </c>
      <c r="AA85" s="26" t="s">
        <v>1006</v>
      </c>
      <c r="AK85" s="26" t="s">
        <v>126</v>
      </c>
      <c r="AL85" s="26" t="s">
        <v>126</v>
      </c>
      <c r="AP85" s="34">
        <v>1</v>
      </c>
      <c r="AQ85" s="41">
        <v>0.10416666666666667</v>
      </c>
      <c r="AR85" s="41">
        <v>0.20833333333333334</v>
      </c>
      <c r="AS85" s="34" t="s">
        <v>237</v>
      </c>
      <c r="AT85" s="34">
        <v>1</v>
      </c>
      <c r="AU85" s="34" t="s">
        <v>116</v>
      </c>
      <c r="AV85" s="34" t="s">
        <v>155</v>
      </c>
      <c r="AW85" s="34">
        <v>1</v>
      </c>
      <c r="AX85" s="34">
        <v>2</v>
      </c>
      <c r="AY85" s="34">
        <v>1</v>
      </c>
      <c r="AZ85" s="34">
        <v>1</v>
      </c>
      <c r="BA85" s="34" t="s">
        <v>416</v>
      </c>
      <c r="BB85" s="109" t="s">
        <v>129</v>
      </c>
      <c r="BC85" s="109" t="s">
        <v>129</v>
      </c>
      <c r="BF85" s="166" t="s">
        <v>799</v>
      </c>
      <c r="BG85" s="166" t="s">
        <v>816</v>
      </c>
      <c r="BV85" s="202" t="s">
        <v>424</v>
      </c>
      <c r="BW85" s="203"/>
      <c r="BX85" s="137"/>
      <c r="BY85">
        <v>182</v>
      </c>
      <c r="BZ85" t="s">
        <v>718</v>
      </c>
      <c r="CA85">
        <v>2</v>
      </c>
      <c r="CC85" s="5">
        <v>44691</v>
      </c>
      <c r="CD85" t="s">
        <v>719</v>
      </c>
      <c r="CE85">
        <v>1</v>
      </c>
      <c r="CF85" s="56">
        <v>0.10416666666666667</v>
      </c>
      <c r="CG85" s="56">
        <v>0.125</v>
      </c>
      <c r="CH85" t="s">
        <v>572</v>
      </c>
      <c r="CI85" s="56">
        <v>0.20833333333333334</v>
      </c>
      <c r="CJ85" t="s">
        <v>560</v>
      </c>
      <c r="CK85">
        <v>1</v>
      </c>
      <c r="CL85" t="s">
        <v>105</v>
      </c>
      <c r="CM85" s="56" t="s">
        <v>223</v>
      </c>
      <c r="CN85" t="s">
        <v>126</v>
      </c>
      <c r="CO85" t="s">
        <v>126</v>
      </c>
      <c r="CP85">
        <v>2</v>
      </c>
      <c r="CQ85">
        <v>1</v>
      </c>
      <c r="CR85" t="s">
        <v>741</v>
      </c>
      <c r="CS85" t="s">
        <v>432</v>
      </c>
      <c r="CT85" t="s">
        <v>129</v>
      </c>
      <c r="CX85" s="171" t="s">
        <v>108</v>
      </c>
      <c r="CY85" s="170" t="s">
        <v>108</v>
      </c>
      <c r="DB85" t="s">
        <v>966</v>
      </c>
      <c r="DC85" s="175">
        <v>0</v>
      </c>
      <c r="DD85" t="s">
        <v>957</v>
      </c>
      <c r="DE85" s="175">
        <v>0</v>
      </c>
      <c r="DF85" t="s">
        <v>989</v>
      </c>
      <c r="DG85" s="175">
        <v>0</v>
      </c>
      <c r="DH85" t="s">
        <v>990</v>
      </c>
      <c r="DI85" s="175">
        <v>0</v>
      </c>
      <c r="DJ85" t="s">
        <v>1000</v>
      </c>
      <c r="DL85" t="s">
        <v>424</v>
      </c>
    </row>
    <row r="86" spans="1:117" x14ac:dyDescent="0.3">
      <c r="A86" s="34">
        <v>83</v>
      </c>
      <c r="B86" s="34" t="s">
        <v>398</v>
      </c>
      <c r="C86" s="34">
        <v>3</v>
      </c>
      <c r="D86" s="34"/>
      <c r="E86" s="35">
        <v>44426</v>
      </c>
      <c r="F86" s="35" t="s">
        <v>399</v>
      </c>
      <c r="G86" s="34">
        <v>293</v>
      </c>
      <c r="H86" s="82">
        <v>1</v>
      </c>
      <c r="I86" s="16" t="s">
        <v>200</v>
      </c>
      <c r="J86" s="37">
        <v>0</v>
      </c>
      <c r="K86" s="34"/>
      <c r="L86" s="34"/>
      <c r="M86" s="34"/>
      <c r="N86" s="34"/>
      <c r="O86" s="34"/>
      <c r="Y86" s="12" t="s">
        <v>126</v>
      </c>
      <c r="AA86" s="26" t="s">
        <v>1010</v>
      </c>
      <c r="AC86" s="209" t="s">
        <v>864</v>
      </c>
      <c r="AD86" s="219"/>
      <c r="AE86" s="219"/>
      <c r="AF86" s="219"/>
      <c r="AG86" s="219"/>
      <c r="AH86" s="219"/>
      <c r="AI86" s="219"/>
      <c r="AJ86" s="219"/>
      <c r="AK86" s="26" t="s">
        <v>126</v>
      </c>
      <c r="AL86" s="26" t="s">
        <v>126</v>
      </c>
      <c r="AP86" s="34">
        <v>0</v>
      </c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0" t="s">
        <v>126</v>
      </c>
      <c r="BC86" s="30" t="s">
        <v>126</v>
      </c>
      <c r="BF86" s="30" t="s">
        <v>108</v>
      </c>
      <c r="BG86" s="30" t="s">
        <v>108</v>
      </c>
      <c r="BQ86" s="202" t="s">
        <v>424</v>
      </c>
      <c r="BR86" s="203"/>
      <c r="BV86" s="202" t="s">
        <v>424</v>
      </c>
      <c r="BW86" s="203"/>
      <c r="BX86" s="60" t="s">
        <v>749</v>
      </c>
      <c r="BY86" s="135"/>
      <c r="BZ86" s="135"/>
      <c r="CA86" s="135"/>
      <c r="CB86" s="135"/>
      <c r="CC86" s="135"/>
      <c r="CD86" s="135"/>
      <c r="CE86" s="135"/>
      <c r="CF86" s="135"/>
      <c r="CG86" s="135"/>
      <c r="CH86" s="135"/>
      <c r="CI86" s="135"/>
      <c r="CJ86" s="135"/>
      <c r="CK86" s="135"/>
      <c r="CL86" s="135"/>
      <c r="CM86" s="135"/>
      <c r="CN86" s="135"/>
      <c r="CO86" s="135"/>
      <c r="CP86" s="135"/>
      <c r="CQ86" s="135"/>
      <c r="CR86" s="135"/>
      <c r="CS86" s="135"/>
      <c r="CT86" s="135"/>
      <c r="CX86" s="171" t="s">
        <v>108</v>
      </c>
      <c r="CY86" s="170" t="s">
        <v>108</v>
      </c>
      <c r="DB86" s="135"/>
      <c r="DC86" s="135"/>
      <c r="DD86" s="135"/>
      <c r="DE86" s="135"/>
      <c r="DF86" s="135"/>
      <c r="DG86" s="135"/>
      <c r="DH86" s="135"/>
      <c r="DI86" s="135"/>
      <c r="DJ86" s="135"/>
      <c r="DK86" s="135"/>
      <c r="DL86" s="135"/>
      <c r="DM86" s="135"/>
    </row>
    <row r="87" spans="1:117" x14ac:dyDescent="0.3">
      <c r="A87" s="64">
        <v>84</v>
      </c>
      <c r="B87" s="34" t="s">
        <v>400</v>
      </c>
      <c r="C87" s="34">
        <v>4</v>
      </c>
      <c r="D87" s="34" t="s">
        <v>401</v>
      </c>
      <c r="E87" s="35">
        <v>44426</v>
      </c>
      <c r="F87" s="35" t="s">
        <v>402</v>
      </c>
      <c r="G87" s="34">
        <v>296</v>
      </c>
      <c r="H87" s="82">
        <v>2</v>
      </c>
      <c r="I87" s="87" t="s">
        <v>201</v>
      </c>
      <c r="J87" s="34">
        <v>1</v>
      </c>
      <c r="K87" s="34">
        <v>0</v>
      </c>
      <c r="L87" s="34">
        <v>2</v>
      </c>
      <c r="M87" s="34">
        <v>1</v>
      </c>
      <c r="N87" s="34">
        <v>1</v>
      </c>
      <c r="O87" s="34"/>
      <c r="Q87" s="8" t="s">
        <v>125</v>
      </c>
      <c r="R87" s="8" t="s">
        <v>129</v>
      </c>
      <c r="S87" s="8" t="s">
        <v>129</v>
      </c>
      <c r="T87" s="11" t="s">
        <v>129</v>
      </c>
      <c r="U87" s="11" t="s">
        <v>126</v>
      </c>
      <c r="V87" s="11" t="s">
        <v>129</v>
      </c>
      <c r="W87" s="11" t="s">
        <v>126</v>
      </c>
      <c r="Y87" s="11" t="s">
        <v>129</v>
      </c>
      <c r="Z87" s="26" t="s">
        <v>126</v>
      </c>
      <c r="AA87" s="178">
        <v>1</v>
      </c>
      <c r="AB87" s="178" t="s">
        <v>1045</v>
      </c>
      <c r="AC87" s="43" t="s">
        <v>467</v>
      </c>
      <c r="AD87" s="52" t="s">
        <v>467</v>
      </c>
      <c r="AE87" s="43"/>
      <c r="AF87" s="52"/>
      <c r="AG87" s="43"/>
      <c r="AH87" s="52" t="s">
        <v>761</v>
      </c>
      <c r="AI87" s="43"/>
      <c r="AJ87" s="52"/>
      <c r="AK87" s="102" t="s">
        <v>129</v>
      </c>
      <c r="AL87" s="102" t="s">
        <v>129</v>
      </c>
      <c r="AM87" s="142"/>
      <c r="AN87" s="142"/>
      <c r="AO87" s="150"/>
      <c r="AP87" s="34">
        <v>1</v>
      </c>
      <c r="AQ87" s="41">
        <v>0.10416666666666667</v>
      </c>
      <c r="AR87" s="41">
        <v>0.20833333333333334</v>
      </c>
      <c r="AS87" s="34" t="s">
        <v>237</v>
      </c>
      <c r="AT87" s="34">
        <v>1</v>
      </c>
      <c r="AU87" s="34" t="s">
        <v>210</v>
      </c>
      <c r="AV87" s="34" t="s">
        <v>155</v>
      </c>
      <c r="AW87" s="34">
        <v>1</v>
      </c>
      <c r="AX87" s="34">
        <v>1</v>
      </c>
      <c r="AY87" s="34">
        <v>2</v>
      </c>
      <c r="AZ87" s="34">
        <v>2</v>
      </c>
      <c r="BA87" s="34"/>
      <c r="BB87" s="109" t="s">
        <v>129</v>
      </c>
      <c r="BC87" s="109" t="s">
        <v>129</v>
      </c>
      <c r="BF87" s="167" t="s">
        <v>817</v>
      </c>
      <c r="BG87" s="167" t="s">
        <v>818</v>
      </c>
      <c r="BI87" s="60" t="s">
        <v>357</v>
      </c>
      <c r="BK87" s="60" t="s">
        <v>357</v>
      </c>
      <c r="BO87" s="60" t="s">
        <v>357</v>
      </c>
      <c r="BQ87" s="128" t="s">
        <v>686</v>
      </c>
      <c r="BR87" s="128">
        <f>33/376</f>
        <v>8.7765957446808512E-2</v>
      </c>
      <c r="BS87" s="120" t="s">
        <v>357</v>
      </c>
      <c r="BV87" s="128" t="s">
        <v>628</v>
      </c>
      <c r="BW87" s="128">
        <f>0/676</f>
        <v>0</v>
      </c>
      <c r="BX87" s="71" t="s">
        <v>750</v>
      </c>
      <c r="BY87">
        <v>184</v>
      </c>
      <c r="BZ87" t="s">
        <v>717</v>
      </c>
      <c r="CA87">
        <v>4</v>
      </c>
      <c r="CC87" s="5">
        <v>44700</v>
      </c>
      <c r="CE87">
        <v>1</v>
      </c>
      <c r="CF87" s="56">
        <v>0.10416666666666667</v>
      </c>
      <c r="CG87" s="56">
        <v>0.125</v>
      </c>
      <c r="CH87" t="s">
        <v>572</v>
      </c>
      <c r="CI87" s="56">
        <v>0.20833333333333334</v>
      </c>
      <c r="CJ87" t="s">
        <v>560</v>
      </c>
      <c r="CK87">
        <v>1</v>
      </c>
      <c r="CL87" t="s">
        <v>258</v>
      </c>
      <c r="CM87" s="56" t="s">
        <v>223</v>
      </c>
      <c r="CN87">
        <v>2</v>
      </c>
      <c r="CO87">
        <v>2</v>
      </c>
      <c r="CP87">
        <v>2</v>
      </c>
      <c r="CQ87">
        <v>1</v>
      </c>
      <c r="CR87" t="s">
        <v>744</v>
      </c>
      <c r="CS87" s="134" t="s">
        <v>129</v>
      </c>
      <c r="CT87" s="134" t="s">
        <v>129</v>
      </c>
      <c r="CU87" s="147"/>
      <c r="CX87" s="170" t="s">
        <v>858</v>
      </c>
      <c r="CY87" s="170" t="s">
        <v>859</v>
      </c>
      <c r="DB87" t="s">
        <v>995</v>
      </c>
      <c r="DC87" s="174">
        <f>50/209</f>
        <v>0.23923444976076555</v>
      </c>
      <c r="DD87" t="s">
        <v>996</v>
      </c>
      <c r="DE87" s="175">
        <f>3/323</f>
        <v>9.2879256965944269E-3</v>
      </c>
      <c r="DF87" t="s">
        <v>991</v>
      </c>
      <c r="DG87" s="174">
        <f>294/422</f>
        <v>0.69668246445497628</v>
      </c>
      <c r="DH87" t="s">
        <v>992</v>
      </c>
      <c r="DI87" s="175">
        <v>0</v>
      </c>
      <c r="DJ87" t="s">
        <v>993</v>
      </c>
      <c r="DK87" s="174">
        <f>301/583</f>
        <v>0.516295025728988</v>
      </c>
      <c r="DL87" t="s">
        <v>994</v>
      </c>
      <c r="DM87" s="175">
        <f>3/617</f>
        <v>4.8622366288492711E-3</v>
      </c>
    </row>
    <row r="88" spans="1:117" x14ac:dyDescent="0.3">
      <c r="A88" s="64">
        <v>85</v>
      </c>
      <c r="B88" s="34" t="s">
        <v>403</v>
      </c>
      <c r="C88" s="34">
        <v>5</v>
      </c>
      <c r="D88" s="34"/>
      <c r="E88" s="35">
        <v>44431</v>
      </c>
      <c r="F88" s="35" t="s">
        <v>404</v>
      </c>
      <c r="G88" s="34">
        <v>294</v>
      </c>
      <c r="H88" s="84">
        <v>2</v>
      </c>
      <c r="I88" s="87" t="s">
        <v>201</v>
      </c>
      <c r="J88" s="34">
        <v>1</v>
      </c>
      <c r="K88" s="34">
        <v>0</v>
      </c>
      <c r="L88" s="34">
        <v>2</v>
      </c>
      <c r="M88" s="34">
        <v>1</v>
      </c>
      <c r="N88" s="34">
        <v>1</v>
      </c>
      <c r="O88" s="34"/>
      <c r="Q88" s="8" t="s">
        <v>125</v>
      </c>
      <c r="R88" s="8" t="s">
        <v>126</v>
      </c>
      <c r="S88" s="8" t="s">
        <v>129</v>
      </c>
      <c r="T88" s="11" t="s">
        <v>129</v>
      </c>
      <c r="U88" s="11" t="s">
        <v>126</v>
      </c>
      <c r="V88" s="11" t="s">
        <v>129</v>
      </c>
      <c r="W88" s="11" t="s">
        <v>126</v>
      </c>
      <c r="Y88" s="11" t="s">
        <v>129</v>
      </c>
      <c r="Z88" s="26" t="s">
        <v>126</v>
      </c>
      <c r="AA88" s="26" t="s">
        <v>1015</v>
      </c>
      <c r="AC88" s="43" t="s">
        <v>467</v>
      </c>
      <c r="AD88" s="52" t="s">
        <v>467</v>
      </c>
      <c r="AE88" s="43"/>
      <c r="AF88" s="52"/>
      <c r="AG88" s="43"/>
      <c r="AH88" s="52" t="s">
        <v>761</v>
      </c>
      <c r="AI88" s="43"/>
      <c r="AJ88" s="52"/>
      <c r="AK88" s="102" t="s">
        <v>129</v>
      </c>
      <c r="AL88" s="145" t="s">
        <v>129</v>
      </c>
      <c r="AP88" s="34">
        <v>1</v>
      </c>
      <c r="AQ88" s="41">
        <v>7.2916666666666671E-2</v>
      </c>
      <c r="AR88" s="41">
        <v>0.14444444444444446</v>
      </c>
      <c r="AS88" s="34" t="s">
        <v>417</v>
      </c>
      <c r="AT88" s="34">
        <v>1</v>
      </c>
      <c r="AU88" s="34" t="s">
        <v>111</v>
      </c>
      <c r="AV88" s="34" t="s">
        <v>211</v>
      </c>
      <c r="AW88" s="34">
        <v>1</v>
      </c>
      <c r="AX88" s="34">
        <v>1</v>
      </c>
      <c r="AY88" s="34">
        <v>1</v>
      </c>
      <c r="AZ88" s="34">
        <v>2</v>
      </c>
      <c r="BA88" s="97" t="s">
        <v>418</v>
      </c>
      <c r="BB88" s="109" t="s">
        <v>129</v>
      </c>
      <c r="BC88" s="109" t="s">
        <v>129</v>
      </c>
      <c r="BF88" s="169" t="s">
        <v>108</v>
      </c>
      <c r="BG88" s="169" t="s">
        <v>108</v>
      </c>
      <c r="BJ88" s="75" t="s">
        <v>426</v>
      </c>
      <c r="BL88" s="60" t="s">
        <v>357</v>
      </c>
      <c r="BP88" s="75" t="s">
        <v>426</v>
      </c>
      <c r="BQ88" s="127" t="s">
        <v>687</v>
      </c>
      <c r="BR88" s="127">
        <f>345/370</f>
        <v>0.93243243243243246</v>
      </c>
      <c r="BT88" s="60" t="s">
        <v>357</v>
      </c>
      <c r="BV88" s="126" t="s">
        <v>653</v>
      </c>
      <c r="BW88" s="126">
        <f>1/471</f>
        <v>2.1231422505307855E-3</v>
      </c>
      <c r="BX88" s="71" t="s">
        <v>750</v>
      </c>
      <c r="BY88">
        <v>185</v>
      </c>
      <c r="BZ88" t="s">
        <v>723</v>
      </c>
      <c r="CA88">
        <v>5</v>
      </c>
      <c r="CC88" s="5">
        <v>44704</v>
      </c>
      <c r="CE88">
        <v>1</v>
      </c>
      <c r="CF88" s="56">
        <v>0.10416666666666667</v>
      </c>
      <c r="CG88" s="56">
        <v>0.125</v>
      </c>
      <c r="CH88" t="s">
        <v>572</v>
      </c>
      <c r="CI88" s="56">
        <v>0.20833333333333334</v>
      </c>
      <c r="CJ88" t="s">
        <v>560</v>
      </c>
      <c r="CK88">
        <v>1</v>
      </c>
      <c r="CL88" t="s">
        <v>292</v>
      </c>
      <c r="CM88" s="56" t="s">
        <v>223</v>
      </c>
      <c r="CN88">
        <v>2</v>
      </c>
      <c r="CO88">
        <v>0</v>
      </c>
      <c r="CP88">
        <v>1</v>
      </c>
      <c r="CQ88">
        <v>2</v>
      </c>
      <c r="CR88" t="s">
        <v>745</v>
      </c>
      <c r="CS88" s="134" t="s">
        <v>129</v>
      </c>
      <c r="CT88" s="134" t="s">
        <v>129</v>
      </c>
      <c r="CU88" s="147"/>
      <c r="CX88" s="171" t="s">
        <v>768</v>
      </c>
      <c r="CY88" s="170" t="s">
        <v>860</v>
      </c>
      <c r="DB88" t="s">
        <v>999</v>
      </c>
      <c r="DD88" t="s">
        <v>1000</v>
      </c>
      <c r="DF88" t="s">
        <v>999</v>
      </c>
      <c r="DH88" t="s">
        <v>1000</v>
      </c>
      <c r="DJ88" t="s">
        <v>999</v>
      </c>
      <c r="DL88" t="s">
        <v>1000</v>
      </c>
    </row>
    <row r="89" spans="1:117" x14ac:dyDescent="0.3">
      <c r="A89" s="64">
        <v>86</v>
      </c>
      <c r="B89" s="34" t="s">
        <v>434</v>
      </c>
      <c r="C89" s="34">
        <v>6</v>
      </c>
      <c r="D89" s="34"/>
      <c r="E89" s="35">
        <v>44432</v>
      </c>
      <c r="F89" s="35" t="s">
        <v>435</v>
      </c>
      <c r="G89" s="34">
        <v>299</v>
      </c>
      <c r="H89" s="82">
        <v>1</v>
      </c>
      <c r="I89" s="16" t="s">
        <v>200</v>
      </c>
      <c r="J89" s="34">
        <v>1</v>
      </c>
      <c r="K89" s="34">
        <v>0</v>
      </c>
      <c r="L89" s="34">
        <v>2</v>
      </c>
      <c r="M89" s="34">
        <v>1</v>
      </c>
      <c r="N89" s="34">
        <v>1</v>
      </c>
      <c r="O89" s="34"/>
      <c r="Q89" s="8" t="s">
        <v>125</v>
      </c>
      <c r="R89" s="8" t="s">
        <v>129</v>
      </c>
      <c r="S89" s="8" t="s">
        <v>129</v>
      </c>
      <c r="T89" s="11" t="s">
        <v>129</v>
      </c>
      <c r="U89" s="11" t="s">
        <v>126</v>
      </c>
      <c r="V89" s="11" t="s">
        <v>129</v>
      </c>
      <c r="W89" s="11" t="s">
        <v>126</v>
      </c>
      <c r="Y89" s="11" t="s">
        <v>129</v>
      </c>
      <c r="Z89" s="26" t="s">
        <v>126</v>
      </c>
      <c r="AA89" s="178">
        <v>1</v>
      </c>
      <c r="AB89" s="178" t="s">
        <v>1046</v>
      </c>
      <c r="AC89" s="43" t="s">
        <v>467</v>
      </c>
      <c r="AD89" s="52" t="s">
        <v>467</v>
      </c>
      <c r="AE89" s="43"/>
      <c r="AF89" s="52"/>
      <c r="AG89" s="43"/>
      <c r="AH89" s="52" t="s">
        <v>761</v>
      </c>
      <c r="AI89" s="43"/>
      <c r="AJ89" s="52"/>
      <c r="AK89" s="102" t="s">
        <v>129</v>
      </c>
      <c r="AL89" s="102" t="s">
        <v>129</v>
      </c>
      <c r="AM89" s="142"/>
      <c r="AN89" s="142"/>
      <c r="AO89" s="150"/>
      <c r="AP89" s="34">
        <v>1</v>
      </c>
      <c r="AQ89" s="41">
        <v>0.11805555555555557</v>
      </c>
      <c r="AR89" s="41">
        <v>0.20833333333333334</v>
      </c>
      <c r="AS89" s="34" t="s">
        <v>237</v>
      </c>
      <c r="AT89" s="34">
        <v>1</v>
      </c>
      <c r="AU89" s="34" t="s">
        <v>116</v>
      </c>
      <c r="AV89" s="34" t="s">
        <v>211</v>
      </c>
      <c r="AW89" s="34">
        <v>1</v>
      </c>
      <c r="AX89" s="34">
        <v>2</v>
      </c>
      <c r="AY89" s="34">
        <v>2</v>
      </c>
      <c r="AZ89" s="34">
        <v>2</v>
      </c>
      <c r="BA89" s="34"/>
      <c r="BB89" s="109" t="s">
        <v>129</v>
      </c>
      <c r="BC89" s="109" t="s">
        <v>129</v>
      </c>
      <c r="BF89" s="167" t="s">
        <v>788</v>
      </c>
      <c r="BG89" s="167" t="s">
        <v>819</v>
      </c>
      <c r="BI89" s="60" t="s">
        <v>357</v>
      </c>
      <c r="BL89" s="60" t="s">
        <v>357</v>
      </c>
      <c r="BP89" s="60" t="s">
        <v>357</v>
      </c>
      <c r="BQ89" s="128" t="s">
        <v>688</v>
      </c>
      <c r="BR89" s="128">
        <f>15/404</f>
        <v>3.7128712871287127E-2</v>
      </c>
      <c r="BT89" s="60" t="s">
        <v>357</v>
      </c>
      <c r="BV89" s="128" t="s">
        <v>689</v>
      </c>
      <c r="BW89" s="128">
        <f>9/681</f>
        <v>1.3215859030837005E-2</v>
      </c>
      <c r="BX89" s="137"/>
      <c r="BY89">
        <v>186</v>
      </c>
      <c r="BZ89" t="s">
        <v>724</v>
      </c>
      <c r="CA89">
        <v>6</v>
      </c>
      <c r="CB89" t="s">
        <v>725</v>
      </c>
      <c r="CC89" s="5">
        <v>44740</v>
      </c>
      <c r="CD89" t="s">
        <v>726</v>
      </c>
      <c r="CE89">
        <v>0</v>
      </c>
      <c r="CS89" t="s">
        <v>126</v>
      </c>
      <c r="CT89" t="s">
        <v>126</v>
      </c>
      <c r="CX89" s="171" t="s">
        <v>108</v>
      </c>
      <c r="CY89" s="170" t="s">
        <v>108</v>
      </c>
      <c r="DB89" s="223" t="s">
        <v>997</v>
      </c>
      <c r="DC89" s="223"/>
      <c r="DD89" s="223"/>
      <c r="DE89" s="223"/>
      <c r="DF89" s="223"/>
      <c r="DG89" s="223"/>
      <c r="DH89" s="223"/>
      <c r="DI89" s="223"/>
      <c r="DJ89" s="223"/>
      <c r="DK89" s="223"/>
      <c r="DL89" s="223"/>
      <c r="DM89" s="223"/>
    </row>
    <row r="90" spans="1:117" x14ac:dyDescent="0.3">
      <c r="A90" s="64">
        <v>87</v>
      </c>
      <c r="B90" s="34" t="s">
        <v>321</v>
      </c>
      <c r="C90" s="34">
        <v>7</v>
      </c>
      <c r="D90" s="34"/>
      <c r="E90" s="35">
        <v>44438</v>
      </c>
      <c r="F90" s="35" t="s">
        <v>436</v>
      </c>
      <c r="G90" s="34">
        <v>307</v>
      </c>
      <c r="H90" s="84">
        <v>1</v>
      </c>
      <c r="I90" s="16" t="s">
        <v>200</v>
      </c>
      <c r="J90" s="34">
        <v>1</v>
      </c>
      <c r="K90" s="34">
        <v>0</v>
      </c>
      <c r="L90" s="34">
        <v>2</v>
      </c>
      <c r="M90" s="34">
        <v>1</v>
      </c>
      <c r="N90" s="34">
        <v>1</v>
      </c>
      <c r="O90" s="34"/>
      <c r="Q90" s="8" t="s">
        <v>125</v>
      </c>
      <c r="R90" s="8" t="s">
        <v>129</v>
      </c>
      <c r="S90" s="8" t="s">
        <v>129</v>
      </c>
      <c r="T90" s="11" t="s">
        <v>129</v>
      </c>
      <c r="U90" s="11" t="s">
        <v>126</v>
      </c>
      <c r="V90" s="11" t="s">
        <v>129</v>
      </c>
      <c r="W90" s="11" t="s">
        <v>126</v>
      </c>
      <c r="Y90" s="11" t="s">
        <v>129</v>
      </c>
      <c r="Z90" s="26" t="s">
        <v>126</v>
      </c>
      <c r="AA90" s="26" t="s">
        <v>1020</v>
      </c>
      <c r="AC90" s="43" t="s">
        <v>467</v>
      </c>
      <c r="AD90" s="52" t="s">
        <v>467</v>
      </c>
      <c r="AE90" s="43"/>
      <c r="AF90" s="52"/>
      <c r="AG90" s="43"/>
      <c r="AH90" s="52" t="s">
        <v>761</v>
      </c>
      <c r="AI90" s="43"/>
      <c r="AJ90" s="52"/>
      <c r="AK90" s="102" t="s">
        <v>126</v>
      </c>
      <c r="AL90" s="102" t="s">
        <v>126</v>
      </c>
      <c r="AP90" s="34">
        <v>1</v>
      </c>
      <c r="AQ90" s="41">
        <v>0.10416666666666667</v>
      </c>
      <c r="AR90" s="41">
        <v>0.20833333333333334</v>
      </c>
      <c r="AS90" s="34" t="s">
        <v>237</v>
      </c>
      <c r="AT90" s="34" t="s">
        <v>442</v>
      </c>
      <c r="AU90" s="34" t="s">
        <v>348</v>
      </c>
      <c r="AV90" s="34" t="s">
        <v>259</v>
      </c>
      <c r="AW90" s="34">
        <v>2</v>
      </c>
      <c r="AX90" s="34">
        <v>1</v>
      </c>
      <c r="AY90" s="34">
        <v>2</v>
      </c>
      <c r="AZ90" s="34">
        <v>1</v>
      </c>
      <c r="BA90" s="34" t="s">
        <v>443</v>
      </c>
      <c r="BB90" s="30" t="s">
        <v>432</v>
      </c>
      <c r="BC90" s="113" t="s">
        <v>703</v>
      </c>
      <c r="BF90" s="30" t="s">
        <v>108</v>
      </c>
      <c r="BG90" s="30" t="s">
        <v>108</v>
      </c>
      <c r="BI90" s="60" t="s">
        <v>357</v>
      </c>
      <c r="BK90" t="s">
        <v>273</v>
      </c>
      <c r="BL90" t="s">
        <v>273</v>
      </c>
      <c r="BM90" t="s">
        <v>273</v>
      </c>
      <c r="BO90" s="75" t="s">
        <v>426</v>
      </c>
      <c r="BS90" s="81" t="s">
        <v>424</v>
      </c>
      <c r="BT90" t="s">
        <v>424</v>
      </c>
      <c r="BU90" t="s">
        <v>424</v>
      </c>
      <c r="BX90" s="71" t="s">
        <v>750</v>
      </c>
      <c r="BY90">
        <v>187</v>
      </c>
      <c r="BZ90" t="s">
        <v>720</v>
      </c>
      <c r="CA90">
        <v>7</v>
      </c>
      <c r="CB90" t="s">
        <v>716</v>
      </c>
      <c r="CC90" s="5">
        <v>44694</v>
      </c>
      <c r="CE90">
        <v>1</v>
      </c>
      <c r="CF90" s="56">
        <v>9.2361111111111116E-2</v>
      </c>
      <c r="CG90" s="56">
        <v>0.125</v>
      </c>
      <c r="CH90" t="s">
        <v>572</v>
      </c>
      <c r="CI90" s="56">
        <v>0.20833333333333334</v>
      </c>
      <c r="CJ90" t="s">
        <v>560</v>
      </c>
      <c r="CK90">
        <v>1</v>
      </c>
      <c r="CL90" t="s">
        <v>348</v>
      </c>
      <c r="CM90" s="56" t="s">
        <v>259</v>
      </c>
      <c r="CN90">
        <v>1</v>
      </c>
      <c r="CO90">
        <v>1</v>
      </c>
      <c r="CP90" t="s">
        <v>585</v>
      </c>
      <c r="CQ90">
        <v>1</v>
      </c>
      <c r="CS90" s="134" t="s">
        <v>129</v>
      </c>
      <c r="CT90" s="134" t="s">
        <v>129</v>
      </c>
      <c r="CX90" s="171" t="s">
        <v>108</v>
      </c>
      <c r="CY90" s="170" t="s">
        <v>108</v>
      </c>
      <c r="DB90" t="s">
        <v>424</v>
      </c>
      <c r="DF90" t="s">
        <v>424</v>
      </c>
      <c r="DJ90" t="s">
        <v>424</v>
      </c>
    </row>
    <row r="91" spans="1:117" x14ac:dyDescent="0.3">
      <c r="A91" s="34">
        <v>88</v>
      </c>
      <c r="B91" s="34" t="s">
        <v>437</v>
      </c>
      <c r="C91" s="34">
        <v>8</v>
      </c>
      <c r="D91" s="34"/>
      <c r="E91" s="35">
        <v>44441</v>
      </c>
      <c r="F91" s="35" t="s">
        <v>456</v>
      </c>
      <c r="G91" s="34">
        <v>310</v>
      </c>
      <c r="H91" s="82">
        <v>1</v>
      </c>
      <c r="I91" s="16" t="s">
        <v>200</v>
      </c>
      <c r="J91" s="34">
        <v>1</v>
      </c>
      <c r="K91" s="34">
        <v>0</v>
      </c>
      <c r="L91" s="34">
        <v>2</v>
      </c>
      <c r="M91" s="34">
        <v>1</v>
      </c>
      <c r="N91" s="34">
        <v>1</v>
      </c>
      <c r="O91" s="34" t="s">
        <v>440</v>
      </c>
      <c r="R91" s="8" t="s">
        <v>126</v>
      </c>
      <c r="W91" s="11" t="s">
        <v>129</v>
      </c>
      <c r="X91" s="9" t="s">
        <v>445</v>
      </c>
      <c r="Y91" s="12" t="s">
        <v>126</v>
      </c>
      <c r="AA91" s="26" t="s">
        <v>1011</v>
      </c>
      <c r="AK91" s="26" t="s">
        <v>126</v>
      </c>
      <c r="AL91" s="26" t="s">
        <v>126</v>
      </c>
      <c r="AP91" s="34">
        <v>1</v>
      </c>
      <c r="AQ91" s="41">
        <v>0.10416666666666667</v>
      </c>
      <c r="AR91" s="41">
        <v>0.14583333333333334</v>
      </c>
      <c r="AS91" s="34" t="s">
        <v>237</v>
      </c>
      <c r="AT91" s="34">
        <v>1</v>
      </c>
      <c r="AU91" s="34">
        <v>5756</v>
      </c>
      <c r="AV91" s="34" t="s">
        <v>119</v>
      </c>
      <c r="AW91" s="34">
        <v>1</v>
      </c>
      <c r="AX91" s="34">
        <v>2</v>
      </c>
      <c r="AY91" s="34">
        <v>2</v>
      </c>
      <c r="AZ91" s="34">
        <v>2</v>
      </c>
      <c r="BA91" s="34"/>
      <c r="BB91" s="109" t="s">
        <v>129</v>
      </c>
      <c r="BC91" s="109" t="s">
        <v>129</v>
      </c>
      <c r="BF91" s="166" t="s">
        <v>820</v>
      </c>
      <c r="BG91" s="166" t="s">
        <v>821</v>
      </c>
      <c r="BQ91" s="183"/>
      <c r="BR91" s="183"/>
      <c r="BV91" s="183"/>
      <c r="BW91" s="183"/>
      <c r="BX91" s="137"/>
      <c r="BY91" s="135"/>
      <c r="BZ91" s="135"/>
      <c r="CA91" s="135"/>
      <c r="CB91" s="135"/>
      <c r="CC91" s="135"/>
      <c r="CD91" s="135"/>
      <c r="CE91" s="135"/>
      <c r="CF91" s="135"/>
      <c r="CG91" s="135"/>
      <c r="CH91" s="135"/>
      <c r="CI91" s="135"/>
      <c r="CJ91" s="135"/>
      <c r="CK91" s="135"/>
      <c r="CL91" s="135"/>
      <c r="CM91" s="135"/>
      <c r="CN91" s="135"/>
      <c r="CO91" s="135"/>
      <c r="CP91" s="135"/>
      <c r="CQ91" s="135"/>
      <c r="CR91" s="135"/>
      <c r="CS91" s="135"/>
      <c r="CT91" s="135"/>
      <c r="CX91" s="171" t="s">
        <v>108</v>
      </c>
      <c r="CY91" s="170" t="s">
        <v>108</v>
      </c>
      <c r="DB91" s="135"/>
      <c r="DC91" s="135"/>
      <c r="DD91" s="135"/>
      <c r="DE91" s="135"/>
      <c r="DF91" s="135"/>
      <c r="DG91" s="135"/>
      <c r="DH91" s="135"/>
      <c r="DI91" s="135"/>
      <c r="DJ91" s="135"/>
      <c r="DK91" s="135"/>
      <c r="DL91" s="135"/>
      <c r="DM91" s="135"/>
    </row>
    <row r="92" spans="1:117" x14ac:dyDescent="0.3">
      <c r="A92" s="64">
        <v>89</v>
      </c>
      <c r="B92" s="34" t="s">
        <v>438</v>
      </c>
      <c r="C92" s="34">
        <v>1</v>
      </c>
      <c r="D92" s="34"/>
      <c r="E92" s="35">
        <v>44453</v>
      </c>
      <c r="F92" s="35" t="s">
        <v>439</v>
      </c>
      <c r="G92" s="34">
        <v>294</v>
      </c>
      <c r="H92" s="35"/>
      <c r="I92" s="91" t="s">
        <v>201</v>
      </c>
      <c r="J92" s="34">
        <v>1</v>
      </c>
      <c r="K92" s="34">
        <v>0</v>
      </c>
      <c r="L92" s="34">
        <v>2</v>
      </c>
      <c r="M92" s="34">
        <v>1</v>
      </c>
      <c r="N92" s="34">
        <v>1</v>
      </c>
      <c r="O92" s="34" t="s">
        <v>441</v>
      </c>
      <c r="Q92" s="8" t="s">
        <v>125</v>
      </c>
      <c r="R92" s="8" t="s">
        <v>129</v>
      </c>
      <c r="S92" s="8" t="s">
        <v>129</v>
      </c>
      <c r="T92" s="11" t="s">
        <v>129</v>
      </c>
      <c r="U92" s="11" t="s">
        <v>126</v>
      </c>
      <c r="V92" s="11" t="s">
        <v>129</v>
      </c>
      <c r="W92" s="11" t="s">
        <v>126</v>
      </c>
      <c r="Y92" s="11" t="s">
        <v>129</v>
      </c>
      <c r="Z92" s="26" t="s">
        <v>126</v>
      </c>
      <c r="AA92" s="178">
        <v>1</v>
      </c>
      <c r="AB92" s="178" t="s">
        <v>1047</v>
      </c>
      <c r="AC92" s="107" t="s">
        <v>475</v>
      </c>
      <c r="AD92" s="108" t="s">
        <v>475</v>
      </c>
      <c r="AE92" s="43"/>
      <c r="AF92" s="52"/>
      <c r="AG92" s="43"/>
      <c r="AH92" s="52" t="s">
        <v>761</v>
      </c>
      <c r="AI92" s="43"/>
      <c r="AJ92" s="52"/>
      <c r="AK92" s="102" t="s">
        <v>129</v>
      </c>
      <c r="AL92" s="102" t="s">
        <v>129</v>
      </c>
      <c r="AM92" s="142"/>
      <c r="AN92" s="142"/>
      <c r="AO92" s="150"/>
      <c r="AP92" s="34">
        <v>1</v>
      </c>
      <c r="AQ92" s="41">
        <v>9.7222222222222224E-2</v>
      </c>
      <c r="AR92" s="41">
        <v>0.20833333333333334</v>
      </c>
      <c r="AS92" s="34" t="s">
        <v>237</v>
      </c>
      <c r="AT92" s="34">
        <v>1</v>
      </c>
      <c r="AU92" s="34" t="s">
        <v>210</v>
      </c>
      <c r="AV92" s="34" t="s">
        <v>211</v>
      </c>
      <c r="AW92" s="34">
        <v>1</v>
      </c>
      <c r="AX92" s="34">
        <v>0</v>
      </c>
      <c r="AY92" s="34">
        <v>2</v>
      </c>
      <c r="AZ92" s="34">
        <v>1</v>
      </c>
      <c r="BA92" s="34" t="s">
        <v>444</v>
      </c>
      <c r="BB92" s="30" t="s">
        <v>126</v>
      </c>
      <c r="BC92" s="30" t="s">
        <v>126</v>
      </c>
      <c r="BF92" s="30" t="s">
        <v>108</v>
      </c>
      <c r="BG92" s="30" t="s">
        <v>108</v>
      </c>
      <c r="BI92" s="60" t="s">
        <v>357</v>
      </c>
      <c r="BL92" s="60" t="s">
        <v>357</v>
      </c>
      <c r="BO92" s="60" t="s">
        <v>357</v>
      </c>
      <c r="BQ92" s="128" t="s">
        <v>690</v>
      </c>
      <c r="BR92" s="128">
        <f>2/325</f>
        <v>6.1538461538461538E-3</v>
      </c>
      <c r="BT92" s="60" t="s">
        <v>357</v>
      </c>
      <c r="BV92" s="128" t="s">
        <v>691</v>
      </c>
      <c r="BW92" s="128">
        <f>11/663</f>
        <v>1.6591251885369532E-2</v>
      </c>
      <c r="BX92" s="71" t="s">
        <v>750</v>
      </c>
      <c r="BY92">
        <v>189</v>
      </c>
      <c r="BZ92" t="s">
        <v>727</v>
      </c>
      <c r="CA92">
        <v>1</v>
      </c>
      <c r="CC92" s="5">
        <v>44747</v>
      </c>
      <c r="CE92">
        <v>1</v>
      </c>
      <c r="CF92" s="56">
        <v>5.5555555555555552E-2</v>
      </c>
      <c r="CG92" s="56">
        <v>0.125</v>
      </c>
      <c r="CH92" t="s">
        <v>572</v>
      </c>
      <c r="CI92" s="56">
        <v>0.20833333333333334</v>
      </c>
      <c r="CJ92" t="s">
        <v>560</v>
      </c>
      <c r="CK92">
        <v>1</v>
      </c>
      <c r="CL92" t="s">
        <v>210</v>
      </c>
      <c r="CM92" s="56" t="s">
        <v>119</v>
      </c>
      <c r="CN92">
        <v>2</v>
      </c>
      <c r="CO92">
        <v>2</v>
      </c>
      <c r="CP92">
        <v>2</v>
      </c>
      <c r="CQ92">
        <v>0</v>
      </c>
      <c r="CS92" s="134" t="s">
        <v>129</v>
      </c>
      <c r="CT92" s="134" t="s">
        <v>129</v>
      </c>
      <c r="CX92" s="170" t="s">
        <v>861</v>
      </c>
      <c r="CY92" s="170" t="s">
        <v>862</v>
      </c>
      <c r="DD92" t="s">
        <v>424</v>
      </c>
      <c r="DH92" t="s">
        <v>424</v>
      </c>
      <c r="DL92" t="s">
        <v>424</v>
      </c>
    </row>
    <row r="93" spans="1:117" x14ac:dyDescent="0.3">
      <c r="A93" s="54">
        <v>90</v>
      </c>
      <c r="B93" s="54" t="s">
        <v>450</v>
      </c>
      <c r="C93" s="54">
        <v>2</v>
      </c>
      <c r="D93" s="54"/>
      <c r="E93" s="55">
        <v>44462</v>
      </c>
      <c r="F93" s="55" t="s">
        <v>327</v>
      </c>
      <c r="G93">
        <v>309</v>
      </c>
      <c r="H93" s="5"/>
      <c r="I93" s="91" t="s">
        <v>201</v>
      </c>
      <c r="J93" s="54">
        <v>1</v>
      </c>
      <c r="K93" s="54">
        <v>0</v>
      </c>
      <c r="L93" s="54">
        <v>2</v>
      </c>
      <c r="M93" s="54">
        <v>1</v>
      </c>
      <c r="N93" s="54">
        <v>1</v>
      </c>
      <c r="O93" s="54" t="s">
        <v>451</v>
      </c>
      <c r="Q93" s="8" t="s">
        <v>125</v>
      </c>
      <c r="R93" s="8" t="s">
        <v>126</v>
      </c>
      <c r="S93" s="8" t="s">
        <v>129</v>
      </c>
      <c r="T93" s="11" t="s">
        <v>129</v>
      </c>
      <c r="U93" s="11" t="s">
        <v>126</v>
      </c>
      <c r="V93" s="11" t="s">
        <v>129</v>
      </c>
      <c r="W93" s="11" t="s">
        <v>452</v>
      </c>
      <c r="X93" s="9" t="s">
        <v>471</v>
      </c>
      <c r="Y93" s="12" t="s">
        <v>126</v>
      </c>
      <c r="AA93" s="26" t="s">
        <v>1021</v>
      </c>
      <c r="AK93" s="26" t="s">
        <v>126</v>
      </c>
      <c r="AL93" s="26" t="s">
        <v>126</v>
      </c>
      <c r="AP93" s="54">
        <v>1</v>
      </c>
      <c r="AQ93" s="57">
        <v>0.10416666666666667</v>
      </c>
      <c r="AR93" s="57">
        <v>0.20833333333333334</v>
      </c>
      <c r="AS93" s="54" t="s">
        <v>237</v>
      </c>
      <c r="AT93" s="54">
        <v>1</v>
      </c>
      <c r="AU93" s="54" t="s">
        <v>111</v>
      </c>
      <c r="AV93" s="54" t="s">
        <v>155</v>
      </c>
      <c r="AW93" s="54">
        <v>0</v>
      </c>
      <c r="AX93" s="54">
        <v>2</v>
      </c>
      <c r="AY93" s="54">
        <v>1</v>
      </c>
      <c r="AZ93" s="54">
        <v>2</v>
      </c>
      <c r="BA93" s="54" t="s">
        <v>453</v>
      </c>
      <c r="BB93" s="109" t="s">
        <v>129</v>
      </c>
      <c r="BC93" s="109" t="s">
        <v>129</v>
      </c>
      <c r="BF93" s="166" t="s">
        <v>788</v>
      </c>
      <c r="BG93" s="166" t="s">
        <v>822</v>
      </c>
      <c r="BV93" s="202" t="s">
        <v>424</v>
      </c>
      <c r="BW93" s="203"/>
      <c r="BX93" s="71" t="s">
        <v>750</v>
      </c>
      <c r="BY93">
        <v>190</v>
      </c>
      <c r="BZ93" t="s">
        <v>728</v>
      </c>
      <c r="CA93">
        <v>2</v>
      </c>
      <c r="CC93" s="5">
        <v>44750</v>
      </c>
      <c r="CD93" t="s">
        <v>729</v>
      </c>
      <c r="CE93">
        <v>1</v>
      </c>
      <c r="CF93" s="56">
        <v>0.10416666666666667</v>
      </c>
      <c r="CG93" s="56">
        <v>0.14583333333333334</v>
      </c>
      <c r="CH93" t="s">
        <v>583</v>
      </c>
      <c r="CI93" s="56">
        <v>0.1875</v>
      </c>
      <c r="CJ93" t="s">
        <v>560</v>
      </c>
      <c r="CK93">
        <v>1</v>
      </c>
      <c r="CL93" t="s">
        <v>570</v>
      </c>
      <c r="CM93" s="56" t="s">
        <v>106</v>
      </c>
      <c r="CN93">
        <v>1</v>
      </c>
      <c r="CO93">
        <v>1</v>
      </c>
      <c r="CP93" t="s">
        <v>126</v>
      </c>
      <c r="CQ93" t="s">
        <v>126</v>
      </c>
      <c r="CR93" t="s">
        <v>746</v>
      </c>
      <c r="CS93" s="134" t="s">
        <v>129</v>
      </c>
      <c r="CT93" s="134" t="s">
        <v>129</v>
      </c>
      <c r="CU93" s="147"/>
      <c r="CX93" s="171" t="s">
        <v>768</v>
      </c>
      <c r="CY93" s="170" t="s">
        <v>863</v>
      </c>
      <c r="DB93" s="223" t="s">
        <v>585</v>
      </c>
      <c r="DC93" s="223"/>
      <c r="DD93" s="223"/>
      <c r="DE93" s="223"/>
      <c r="DF93" s="223"/>
      <c r="DG93" s="223"/>
      <c r="DH93" s="223"/>
      <c r="DI93" s="223"/>
      <c r="DJ93" s="223"/>
      <c r="DK93" s="223"/>
      <c r="DL93" s="223"/>
      <c r="DM93" s="223"/>
    </row>
    <row r="94" spans="1:117" x14ac:dyDescent="0.3">
      <c r="H94" s="89"/>
      <c r="I94" s="89"/>
    </row>
  </sheetData>
  <mergeCells count="63">
    <mergeCell ref="DB93:DM93"/>
    <mergeCell ref="BQ5:BR5"/>
    <mergeCell ref="BV5:BW5"/>
    <mergeCell ref="BN8:BP8"/>
    <mergeCell ref="BS8:BU8"/>
    <mergeCell ref="BV14:BW14"/>
    <mergeCell ref="BQ16:BR16"/>
    <mergeCell ref="BV16:BW16"/>
    <mergeCell ref="BQ23:BR23"/>
    <mergeCell ref="BV23:BW23"/>
    <mergeCell ref="DB8:DM8"/>
    <mergeCell ref="DB14:DM14"/>
    <mergeCell ref="DB89:DM89"/>
    <mergeCell ref="DB22:DM22"/>
    <mergeCell ref="DB23:DM23"/>
    <mergeCell ref="DB62:DM62"/>
    <mergeCell ref="DB66:DM66"/>
    <mergeCell ref="DB71:DM71"/>
    <mergeCell ref="AC86:AJ86"/>
    <mergeCell ref="AC32:AH32"/>
    <mergeCell ref="AC37:AH37"/>
    <mergeCell ref="BQ41:BR41"/>
    <mergeCell ref="BV41:BW41"/>
    <mergeCell ref="BV68:BW68"/>
    <mergeCell ref="BQ70:BR70"/>
    <mergeCell ref="BV70:BW70"/>
    <mergeCell ref="BQ73:BR73"/>
    <mergeCell ref="BV73:BW73"/>
    <mergeCell ref="BV81:BW81"/>
    <mergeCell ref="BV83:BW83"/>
    <mergeCell ref="BV85:BW85"/>
    <mergeCell ref="BQ86:BR86"/>
    <mergeCell ref="BN1:BU1"/>
    <mergeCell ref="BN2:BP2"/>
    <mergeCell ref="BS2:BU2"/>
    <mergeCell ref="AC12:AD12"/>
    <mergeCell ref="BH1:BM1"/>
    <mergeCell ref="AC2:AD2"/>
    <mergeCell ref="AE2:AF2"/>
    <mergeCell ref="AG2:AH2"/>
    <mergeCell ref="AI2:AJ2"/>
    <mergeCell ref="AC8:AH8"/>
    <mergeCell ref="BB2:BC2"/>
    <mergeCell ref="BD2:BG2"/>
    <mergeCell ref="BH2:BJ2"/>
    <mergeCell ref="BK2:BM2"/>
    <mergeCell ref="CV2:CY2"/>
    <mergeCell ref="BX1:CT2"/>
    <mergeCell ref="DJ1:DM1"/>
    <mergeCell ref="DJ2:DK2"/>
    <mergeCell ref="DL2:DM2"/>
    <mergeCell ref="DB1:DE1"/>
    <mergeCell ref="DB2:DC2"/>
    <mergeCell ref="DD2:DE2"/>
    <mergeCell ref="DF1:DI1"/>
    <mergeCell ref="DF2:DG2"/>
    <mergeCell ref="DH2:DI2"/>
    <mergeCell ref="BV86:BW86"/>
    <mergeCell ref="BV93:BW93"/>
    <mergeCell ref="BQ27:BR27"/>
    <mergeCell ref="BV27:BW27"/>
    <mergeCell ref="BQ32:BR32"/>
    <mergeCell ref="BV32:BW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3264-8199-40C2-A7B4-0CABF414DE17}">
  <dimension ref="A2:V98"/>
  <sheetViews>
    <sheetView zoomScale="50" zoomScaleNormal="50" workbookViewId="0">
      <selection activeCell="A3" sqref="A3"/>
    </sheetView>
  </sheetViews>
  <sheetFormatPr defaultRowHeight="14.4" x14ac:dyDescent="0.3"/>
  <cols>
    <col min="4" max="4" width="16.6640625" customWidth="1"/>
    <col min="5" max="5" width="17.77734375" customWidth="1"/>
    <col min="6" max="6" width="20.6640625" customWidth="1"/>
    <col min="7" max="7" width="16.33203125" customWidth="1"/>
    <col min="8" max="19" width="8.77734375" customWidth="1"/>
  </cols>
  <sheetData>
    <row r="2" spans="1:22" x14ac:dyDescent="0.3">
      <c r="I2" s="223" t="s">
        <v>1055</v>
      </c>
      <c r="J2" s="223"/>
      <c r="K2" s="223"/>
      <c r="L2" s="223" t="s">
        <v>1059</v>
      </c>
      <c r="M2" s="223"/>
      <c r="N2" s="223"/>
    </row>
    <row r="3" spans="1:22" ht="43.2" x14ac:dyDescent="0.3">
      <c r="A3" s="88" t="s">
        <v>0</v>
      </c>
      <c r="B3" s="88"/>
      <c r="C3" s="88" t="s">
        <v>1064</v>
      </c>
      <c r="D3" s="88" t="s">
        <v>1048</v>
      </c>
      <c r="E3" s="88" t="s">
        <v>1049</v>
      </c>
      <c r="F3" s="88" t="s">
        <v>1050</v>
      </c>
      <c r="G3" s="88" t="s">
        <v>1051</v>
      </c>
      <c r="I3" s="88" t="s">
        <v>1056</v>
      </c>
      <c r="J3" s="88" t="s">
        <v>1057</v>
      </c>
      <c r="K3" s="88" t="s">
        <v>1058</v>
      </c>
      <c r="M3" s="88" t="s">
        <v>1057</v>
      </c>
      <c r="N3" s="88" t="s">
        <v>1058</v>
      </c>
      <c r="P3" s="191" t="s">
        <v>1060</v>
      </c>
      <c r="Q3" s="192" t="s">
        <v>1061</v>
      </c>
      <c r="R3" s="192" t="s">
        <v>1062</v>
      </c>
      <c r="S3" s="193" t="s">
        <v>1063</v>
      </c>
      <c r="U3" s="30" t="s">
        <v>1067</v>
      </c>
      <c r="V3" s="30" t="s">
        <v>1068</v>
      </c>
    </row>
    <row r="4" spans="1:22" x14ac:dyDescent="0.3">
      <c r="A4">
        <v>1</v>
      </c>
      <c r="B4" s="188" t="s">
        <v>124</v>
      </c>
      <c r="C4" s="188"/>
      <c r="D4" s="188"/>
      <c r="E4" s="188"/>
      <c r="F4" s="188"/>
      <c r="G4" s="188"/>
    </row>
    <row r="5" spans="1:22" ht="15.6" x14ac:dyDescent="0.3">
      <c r="A5">
        <v>2</v>
      </c>
      <c r="B5" s="188" t="s">
        <v>124</v>
      </c>
      <c r="C5" s="188"/>
      <c r="D5" s="188"/>
      <c r="E5" s="188"/>
      <c r="F5" s="188"/>
      <c r="G5" s="188"/>
      <c r="P5" s="195">
        <v>4.9714285714285715</v>
      </c>
      <c r="Q5" s="196">
        <v>5.0769230769230766</v>
      </c>
      <c r="R5" s="196">
        <v>5.0999999999999996</v>
      </c>
      <c r="S5" s="197">
        <v>4.75</v>
      </c>
    </row>
    <row r="6" spans="1:22" ht="15.6" x14ac:dyDescent="0.3">
      <c r="A6">
        <v>3</v>
      </c>
      <c r="B6" s="188" t="s">
        <v>124</v>
      </c>
      <c r="C6" s="188"/>
      <c r="D6" s="188"/>
      <c r="E6" s="188"/>
      <c r="F6" s="188"/>
      <c r="G6" s="188"/>
      <c r="P6" s="195">
        <v>4.2941176470588234</v>
      </c>
      <c r="Q6" s="196">
        <v>4.5384615384615383</v>
      </c>
      <c r="R6" s="196">
        <v>4.3</v>
      </c>
      <c r="S6" s="197">
        <v>4</v>
      </c>
    </row>
    <row r="7" spans="1:22" ht="15.6" x14ac:dyDescent="0.3">
      <c r="A7">
        <v>4</v>
      </c>
      <c r="B7">
        <v>0</v>
      </c>
      <c r="D7">
        <v>0</v>
      </c>
      <c r="E7">
        <v>0</v>
      </c>
      <c r="F7">
        <v>0</v>
      </c>
      <c r="G7">
        <v>0</v>
      </c>
      <c r="P7" s="195">
        <v>5.583333333333333</v>
      </c>
      <c r="Q7" s="196">
        <v>6.5</v>
      </c>
      <c r="R7" s="196">
        <v>4.333333333333333</v>
      </c>
      <c r="S7" s="197">
        <v>5.916666666666667</v>
      </c>
    </row>
    <row r="8" spans="1:22" ht="15.6" x14ac:dyDescent="0.3">
      <c r="A8">
        <v>5</v>
      </c>
      <c r="B8" s="188" t="s">
        <v>124</v>
      </c>
      <c r="C8" s="188"/>
      <c r="D8" s="188"/>
      <c r="E8" s="188"/>
      <c r="F8" s="188"/>
      <c r="G8" s="188"/>
      <c r="P8" s="195">
        <v>4.7272727272727275</v>
      </c>
      <c r="Q8" s="196">
        <v>5.166666666666667</v>
      </c>
      <c r="R8" s="196">
        <v>3.2</v>
      </c>
      <c r="S8" s="197">
        <v>5.6363636363636367</v>
      </c>
    </row>
    <row r="9" spans="1:22" ht="15.6" x14ac:dyDescent="0.3">
      <c r="A9">
        <v>6</v>
      </c>
      <c r="B9">
        <v>0</v>
      </c>
      <c r="D9">
        <v>0</v>
      </c>
      <c r="E9">
        <v>0</v>
      </c>
      <c r="F9">
        <v>0</v>
      </c>
      <c r="G9">
        <v>0</v>
      </c>
      <c r="P9" s="195">
        <v>4.7142857142857144</v>
      </c>
      <c r="Q9" s="196">
        <v>5.4545454545454541</v>
      </c>
      <c r="R9" s="196">
        <v>4.333333333333333</v>
      </c>
      <c r="S9" s="197">
        <v>4.416666666666667</v>
      </c>
    </row>
    <row r="10" spans="1:22" ht="15.6" x14ac:dyDescent="0.3">
      <c r="A10">
        <v>7</v>
      </c>
      <c r="B10">
        <v>0</v>
      </c>
      <c r="D10">
        <v>0</v>
      </c>
      <c r="E10">
        <v>0</v>
      </c>
      <c r="F10">
        <v>0</v>
      </c>
      <c r="G10">
        <v>0</v>
      </c>
      <c r="P10" s="195">
        <v>5.1621621621621623</v>
      </c>
      <c r="Q10" s="196">
        <v>5.6923076923076925</v>
      </c>
      <c r="R10" s="196">
        <v>5.75</v>
      </c>
      <c r="S10" s="197">
        <v>4</v>
      </c>
    </row>
    <row r="11" spans="1:22" ht="15.6" x14ac:dyDescent="0.3">
      <c r="A11">
        <v>8</v>
      </c>
      <c r="B11">
        <v>0</v>
      </c>
      <c r="D11">
        <v>0</v>
      </c>
      <c r="E11">
        <v>0</v>
      </c>
      <c r="F11">
        <v>0</v>
      </c>
      <c r="G11">
        <v>0</v>
      </c>
      <c r="P11" s="198">
        <v>5.0714285714285712</v>
      </c>
      <c r="Q11" s="196">
        <v>5.166666666666667</v>
      </c>
      <c r="R11" s="196">
        <v>4.25</v>
      </c>
      <c r="S11" s="197">
        <v>5.75</v>
      </c>
    </row>
    <row r="12" spans="1:22" ht="15.6" x14ac:dyDescent="0.3">
      <c r="A12" s="61">
        <v>9</v>
      </c>
      <c r="B12" s="61">
        <v>1</v>
      </c>
      <c r="C12" s="61" t="s">
        <v>1065</v>
      </c>
      <c r="D12">
        <v>0</v>
      </c>
      <c r="E12">
        <v>0</v>
      </c>
      <c r="F12">
        <v>0</v>
      </c>
      <c r="G12">
        <v>0</v>
      </c>
      <c r="P12" s="195">
        <v>5.4838709677419351</v>
      </c>
      <c r="Q12" s="196">
        <v>6.2222222222222223</v>
      </c>
      <c r="R12" s="196">
        <v>5.666666666666667</v>
      </c>
      <c r="S12" s="197">
        <v>4.5999999999999996</v>
      </c>
    </row>
    <row r="13" spans="1:22" ht="15.6" x14ac:dyDescent="0.3">
      <c r="A13" s="61">
        <v>10</v>
      </c>
      <c r="B13" s="61">
        <v>1</v>
      </c>
      <c r="C13" s="61" t="s">
        <v>1066</v>
      </c>
      <c r="D13">
        <v>1</v>
      </c>
      <c r="E13">
        <v>0</v>
      </c>
      <c r="F13">
        <v>0</v>
      </c>
      <c r="G13">
        <v>1</v>
      </c>
      <c r="I13">
        <v>1</v>
      </c>
      <c r="J13">
        <v>0</v>
      </c>
      <c r="K13">
        <v>0</v>
      </c>
      <c r="M13">
        <v>0</v>
      </c>
      <c r="N13">
        <v>0</v>
      </c>
      <c r="P13" s="195">
        <v>4.2972972972972974</v>
      </c>
      <c r="Q13" s="196">
        <v>5.4615384615384617</v>
      </c>
      <c r="R13" s="196">
        <v>2.25</v>
      </c>
      <c r="S13" s="197">
        <v>5.083333333333333</v>
      </c>
    </row>
    <row r="14" spans="1:22" ht="15.6" x14ac:dyDescent="0.3">
      <c r="A14" s="61">
        <v>11</v>
      </c>
      <c r="B14" s="61">
        <v>1</v>
      </c>
      <c r="C14" s="61" t="s">
        <v>1065</v>
      </c>
      <c r="D14">
        <v>1</v>
      </c>
      <c r="E14">
        <v>0</v>
      </c>
      <c r="F14">
        <v>0</v>
      </c>
      <c r="G14">
        <v>0</v>
      </c>
      <c r="M14">
        <v>0</v>
      </c>
      <c r="N14">
        <v>0</v>
      </c>
      <c r="P14" s="195">
        <v>4.833333333333333</v>
      </c>
      <c r="Q14" s="196">
        <v>5.25</v>
      </c>
      <c r="R14" s="196">
        <v>5.166666666666667</v>
      </c>
      <c r="S14" s="197">
        <v>4.083333333333333</v>
      </c>
    </row>
    <row r="15" spans="1:22" x14ac:dyDescent="0.3">
      <c r="A15" s="61">
        <v>12</v>
      </c>
      <c r="B15" s="61">
        <v>1</v>
      </c>
      <c r="C15" s="61" t="s">
        <v>1065</v>
      </c>
      <c r="D15">
        <v>1</v>
      </c>
      <c r="E15">
        <v>0</v>
      </c>
      <c r="F15">
        <v>0</v>
      </c>
      <c r="G15">
        <v>0</v>
      </c>
      <c r="M15">
        <v>0</v>
      </c>
      <c r="N15">
        <v>0</v>
      </c>
    </row>
    <row r="16" spans="1:22" ht="15.6" x14ac:dyDescent="0.3">
      <c r="A16">
        <v>13</v>
      </c>
      <c r="B16">
        <v>0</v>
      </c>
      <c r="D16">
        <v>0</v>
      </c>
      <c r="E16">
        <v>0</v>
      </c>
      <c r="F16">
        <v>0</v>
      </c>
      <c r="G16">
        <v>0</v>
      </c>
      <c r="P16" s="195">
        <v>5.0606060606060606</v>
      </c>
      <c r="Q16" s="196">
        <v>5.5454545454545459</v>
      </c>
      <c r="R16" s="196">
        <v>5.4</v>
      </c>
      <c r="S16" s="197">
        <v>4.333333333333333</v>
      </c>
    </row>
    <row r="17" spans="1:19" ht="15.6" x14ac:dyDescent="0.3">
      <c r="A17" s="61">
        <v>14</v>
      </c>
      <c r="B17" s="61">
        <v>1</v>
      </c>
      <c r="C17" s="61" t="s">
        <v>1066</v>
      </c>
      <c r="D17">
        <v>1</v>
      </c>
      <c r="E17">
        <v>0</v>
      </c>
      <c r="F17">
        <v>0</v>
      </c>
      <c r="G17">
        <v>1</v>
      </c>
      <c r="I17">
        <v>1</v>
      </c>
      <c r="J17">
        <v>0</v>
      </c>
      <c r="K17">
        <v>0</v>
      </c>
      <c r="M17">
        <v>0</v>
      </c>
      <c r="N17">
        <v>0</v>
      </c>
      <c r="P17" s="195">
        <v>5.3030303030303028</v>
      </c>
      <c r="Q17" s="196">
        <v>5.6</v>
      </c>
      <c r="R17" s="196">
        <v>4.2727272727272725</v>
      </c>
      <c r="S17" s="197">
        <v>6</v>
      </c>
    </row>
    <row r="18" spans="1:19" ht="15.6" x14ac:dyDescent="0.3">
      <c r="A18">
        <v>15</v>
      </c>
      <c r="B18">
        <v>0</v>
      </c>
      <c r="D18">
        <v>0</v>
      </c>
      <c r="E18">
        <v>1</v>
      </c>
      <c r="F18">
        <v>0</v>
      </c>
      <c r="G18">
        <v>0</v>
      </c>
      <c r="M18">
        <v>0</v>
      </c>
      <c r="P18" s="195">
        <v>5.4838709677419351</v>
      </c>
      <c r="Q18" s="196">
        <v>6.0909090909090908</v>
      </c>
      <c r="R18" s="196">
        <v>5.2</v>
      </c>
      <c r="S18" s="197">
        <v>5.0999999999999996</v>
      </c>
    </row>
    <row r="19" spans="1:19" ht="15.6" x14ac:dyDescent="0.3">
      <c r="A19" s="61">
        <v>16</v>
      </c>
      <c r="B19" s="61">
        <v>1</v>
      </c>
      <c r="C19" s="61" t="s">
        <v>1066</v>
      </c>
      <c r="D19">
        <v>1</v>
      </c>
      <c r="E19">
        <v>0</v>
      </c>
      <c r="F19">
        <v>1</v>
      </c>
      <c r="G19">
        <v>0</v>
      </c>
      <c r="M19">
        <v>0</v>
      </c>
      <c r="N19">
        <v>1</v>
      </c>
      <c r="P19" s="195">
        <v>4.4285714285714288</v>
      </c>
      <c r="Q19" s="196">
        <v>5.333333333333333</v>
      </c>
      <c r="R19" s="196">
        <v>4</v>
      </c>
      <c r="S19" s="197">
        <v>3.9166666666666665</v>
      </c>
    </row>
    <row r="20" spans="1:19" ht="15.6" x14ac:dyDescent="0.3">
      <c r="A20" s="61">
        <v>17</v>
      </c>
      <c r="B20" s="61">
        <v>1</v>
      </c>
      <c r="C20" s="61" t="s">
        <v>1065</v>
      </c>
      <c r="D20">
        <v>1</v>
      </c>
      <c r="E20">
        <v>0</v>
      </c>
      <c r="F20">
        <v>1</v>
      </c>
      <c r="G20">
        <v>1</v>
      </c>
      <c r="I20">
        <v>1</v>
      </c>
      <c r="J20">
        <v>0</v>
      </c>
      <c r="K20">
        <v>1</v>
      </c>
      <c r="M20">
        <v>0</v>
      </c>
      <c r="N20">
        <v>1</v>
      </c>
      <c r="P20" s="195">
        <v>4.4285714285714288</v>
      </c>
      <c r="Q20" s="196">
        <v>4.416666666666667</v>
      </c>
      <c r="R20" s="196">
        <v>3.6363636363636362</v>
      </c>
      <c r="S20" s="197">
        <v>5.166666666666667</v>
      </c>
    </row>
    <row r="21" spans="1:19" ht="15.6" x14ac:dyDescent="0.3">
      <c r="A21" s="61">
        <v>18</v>
      </c>
      <c r="B21" s="61">
        <v>1</v>
      </c>
      <c r="C21" s="61" t="s">
        <v>1065</v>
      </c>
      <c r="D21">
        <v>1</v>
      </c>
      <c r="E21">
        <v>0</v>
      </c>
      <c r="F21">
        <v>1</v>
      </c>
      <c r="G21">
        <v>0</v>
      </c>
      <c r="M21">
        <v>0</v>
      </c>
      <c r="N21">
        <v>1</v>
      </c>
      <c r="P21" s="195">
        <v>3.7714285714285714</v>
      </c>
      <c r="Q21" s="196">
        <v>4.75</v>
      </c>
      <c r="R21" s="196">
        <v>2.2727272727272729</v>
      </c>
      <c r="S21" s="197">
        <v>4.166666666666667</v>
      </c>
    </row>
    <row r="22" spans="1:19" ht="15.6" x14ac:dyDescent="0.3">
      <c r="A22" s="61">
        <v>19</v>
      </c>
      <c r="B22" s="61">
        <v>1</v>
      </c>
      <c r="C22" s="61" t="s">
        <v>1066</v>
      </c>
      <c r="D22">
        <v>1</v>
      </c>
      <c r="E22">
        <v>0</v>
      </c>
      <c r="F22">
        <v>1</v>
      </c>
      <c r="G22">
        <v>1</v>
      </c>
      <c r="I22">
        <v>1</v>
      </c>
      <c r="J22">
        <v>0</v>
      </c>
      <c r="K22">
        <v>1</v>
      </c>
      <c r="M22">
        <v>0</v>
      </c>
      <c r="N22">
        <v>1</v>
      </c>
      <c r="P22" s="195">
        <v>4.2</v>
      </c>
      <c r="Q22" s="196">
        <v>5</v>
      </c>
      <c r="R22" s="196">
        <v>3.7</v>
      </c>
      <c r="S22" s="197">
        <v>3.75</v>
      </c>
    </row>
    <row r="23" spans="1:19" ht="15.6" x14ac:dyDescent="0.3">
      <c r="A23">
        <v>20</v>
      </c>
      <c r="B23">
        <v>0</v>
      </c>
      <c r="D23">
        <v>0</v>
      </c>
      <c r="E23">
        <v>0</v>
      </c>
      <c r="F23">
        <v>0</v>
      </c>
      <c r="G23">
        <v>0</v>
      </c>
      <c r="P23" s="195">
        <v>4.9000000000000004</v>
      </c>
      <c r="Q23" s="196">
        <v>5.5</v>
      </c>
      <c r="R23" s="196">
        <v>4.75</v>
      </c>
      <c r="S23" s="197">
        <v>4.5</v>
      </c>
    </row>
    <row r="24" spans="1:19" ht="15.6" x14ac:dyDescent="0.3">
      <c r="A24">
        <v>21</v>
      </c>
      <c r="B24">
        <v>0</v>
      </c>
      <c r="D24">
        <v>0</v>
      </c>
      <c r="E24">
        <v>0</v>
      </c>
      <c r="F24">
        <v>0</v>
      </c>
      <c r="G24">
        <v>0</v>
      </c>
      <c r="P24" s="195">
        <v>5.3611111111111107</v>
      </c>
      <c r="Q24" s="196">
        <v>5.583333333333333</v>
      </c>
      <c r="R24" s="196">
        <v>5</v>
      </c>
      <c r="S24" s="197">
        <v>5.5</v>
      </c>
    </row>
    <row r="25" spans="1:19" ht="15.6" x14ac:dyDescent="0.3">
      <c r="A25">
        <v>22</v>
      </c>
      <c r="B25">
        <v>0</v>
      </c>
      <c r="D25">
        <v>0</v>
      </c>
      <c r="E25">
        <v>0</v>
      </c>
      <c r="F25">
        <v>0</v>
      </c>
      <c r="G25">
        <v>0</v>
      </c>
      <c r="P25" s="199">
        <v>5.0833333333333304</v>
      </c>
      <c r="Q25" s="196">
        <v>5.3076923076923075</v>
      </c>
      <c r="R25" s="196">
        <v>5.083333333333333</v>
      </c>
      <c r="S25" s="197">
        <v>4.8181818181818183</v>
      </c>
    </row>
    <row r="26" spans="1:19" ht="15.6" x14ac:dyDescent="0.3">
      <c r="A26">
        <v>23</v>
      </c>
      <c r="B26" s="188" t="s">
        <v>124</v>
      </c>
      <c r="C26" s="188"/>
      <c r="D26" s="188"/>
      <c r="E26" s="188"/>
      <c r="F26" s="188"/>
      <c r="G26" s="188"/>
      <c r="P26" s="195">
        <v>5.6944444444444446</v>
      </c>
      <c r="Q26" s="196">
        <v>5.7692307692307692</v>
      </c>
      <c r="R26" s="196">
        <v>6.166666666666667</v>
      </c>
      <c r="S26" s="197">
        <v>5.0909090909090908</v>
      </c>
    </row>
    <row r="27" spans="1:19" ht="15.6" x14ac:dyDescent="0.3">
      <c r="A27">
        <v>24</v>
      </c>
      <c r="B27" s="188" t="s">
        <v>124</v>
      </c>
      <c r="C27" s="188"/>
      <c r="D27" s="188"/>
      <c r="E27" s="188"/>
      <c r="F27" s="188"/>
      <c r="G27" s="188"/>
      <c r="P27" s="195">
        <v>5.161290322580645</v>
      </c>
      <c r="Q27" s="196">
        <v>4.9090909090909092</v>
      </c>
      <c r="R27" s="196">
        <v>5.6</v>
      </c>
      <c r="S27" s="197">
        <v>5</v>
      </c>
    </row>
    <row r="28" spans="1:19" x14ac:dyDescent="0.3">
      <c r="A28" s="16">
        <v>25</v>
      </c>
      <c r="B28" s="16">
        <v>0</v>
      </c>
      <c r="C28" s="16"/>
      <c r="D28">
        <v>0</v>
      </c>
      <c r="E28">
        <v>1</v>
      </c>
      <c r="F28">
        <v>0</v>
      </c>
      <c r="G28">
        <v>0</v>
      </c>
      <c r="M28">
        <v>0</v>
      </c>
    </row>
    <row r="29" spans="1:19" ht="15.6" x14ac:dyDescent="0.3">
      <c r="A29" s="16">
        <v>26</v>
      </c>
      <c r="B29" s="16">
        <v>0</v>
      </c>
      <c r="C29" s="16"/>
      <c r="D29">
        <v>0</v>
      </c>
      <c r="E29">
        <v>0</v>
      </c>
      <c r="F29">
        <v>0</v>
      </c>
      <c r="G29">
        <v>0</v>
      </c>
      <c r="P29" s="195">
        <v>5.3513513513513518</v>
      </c>
      <c r="Q29" s="196">
        <v>6.2307692307692308</v>
      </c>
      <c r="R29" s="196">
        <v>5.25</v>
      </c>
      <c r="S29" s="197">
        <v>4.5</v>
      </c>
    </row>
    <row r="30" spans="1:19" ht="15.6" x14ac:dyDescent="0.3">
      <c r="A30" s="16">
        <v>27</v>
      </c>
      <c r="B30" s="16">
        <v>0</v>
      </c>
      <c r="C30" s="16"/>
      <c r="D30">
        <v>0</v>
      </c>
      <c r="E30">
        <v>1</v>
      </c>
      <c r="F30">
        <v>0</v>
      </c>
      <c r="G30">
        <v>0</v>
      </c>
      <c r="M30">
        <v>0</v>
      </c>
      <c r="P30" s="195">
        <v>5.8857142857142861</v>
      </c>
      <c r="Q30" s="196">
        <v>6.1538461538461542</v>
      </c>
      <c r="R30" s="196">
        <v>6.7</v>
      </c>
      <c r="S30" s="197">
        <v>4.916666666666667</v>
      </c>
    </row>
    <row r="31" spans="1:19" ht="15.6" x14ac:dyDescent="0.3">
      <c r="A31" s="16">
        <v>28</v>
      </c>
      <c r="B31" s="16">
        <v>0</v>
      </c>
      <c r="C31" s="16"/>
      <c r="D31">
        <v>0</v>
      </c>
      <c r="E31">
        <v>1</v>
      </c>
      <c r="F31">
        <v>0</v>
      </c>
      <c r="G31">
        <v>0</v>
      </c>
      <c r="M31">
        <v>0</v>
      </c>
      <c r="P31" s="199">
        <v>4.5925925925925926</v>
      </c>
      <c r="Q31" s="196">
        <v>4.7777777777777777</v>
      </c>
      <c r="R31" s="196">
        <v>3.4444444444444446</v>
      </c>
      <c r="S31" s="197">
        <v>5.5555555555555554</v>
      </c>
    </row>
    <row r="32" spans="1:19" ht="15.6" x14ac:dyDescent="0.3">
      <c r="A32" s="62">
        <v>29</v>
      </c>
      <c r="B32" s="62">
        <v>1</v>
      </c>
      <c r="C32" s="62" t="s">
        <v>1065</v>
      </c>
      <c r="D32">
        <v>0</v>
      </c>
      <c r="E32">
        <v>0</v>
      </c>
      <c r="F32">
        <v>0</v>
      </c>
      <c r="G32">
        <v>0</v>
      </c>
      <c r="P32" s="195">
        <v>5.4375</v>
      </c>
      <c r="Q32" s="196">
        <v>6.2222222222222223</v>
      </c>
      <c r="R32" s="196">
        <v>4.916666666666667</v>
      </c>
      <c r="S32" s="197">
        <v>5.3636363636363633</v>
      </c>
    </row>
    <row r="33" spans="1:19" ht="15.6" x14ac:dyDescent="0.3">
      <c r="A33" s="62">
        <v>30</v>
      </c>
      <c r="B33" s="62">
        <v>1</v>
      </c>
      <c r="C33" s="62" t="s">
        <v>1065</v>
      </c>
      <c r="D33">
        <v>1</v>
      </c>
      <c r="E33">
        <v>0</v>
      </c>
      <c r="F33">
        <v>1</v>
      </c>
      <c r="G33">
        <v>1</v>
      </c>
      <c r="I33">
        <v>1</v>
      </c>
      <c r="J33">
        <v>0</v>
      </c>
      <c r="K33">
        <v>1</v>
      </c>
      <c r="M33">
        <v>0</v>
      </c>
      <c r="N33">
        <v>1</v>
      </c>
      <c r="P33" s="195">
        <v>4.75</v>
      </c>
      <c r="Q33" s="196">
        <v>4.615384615384615</v>
      </c>
      <c r="R33" s="196">
        <v>5</v>
      </c>
      <c r="S33" s="197">
        <v>4.666666666666667</v>
      </c>
    </row>
    <row r="34" spans="1:19" ht="15.6" x14ac:dyDescent="0.3">
      <c r="A34" s="16">
        <v>31</v>
      </c>
      <c r="B34" s="16">
        <v>0</v>
      </c>
      <c r="C34" s="16"/>
      <c r="D34">
        <v>0</v>
      </c>
      <c r="E34">
        <v>1</v>
      </c>
      <c r="F34">
        <v>0</v>
      </c>
      <c r="G34">
        <v>0</v>
      </c>
      <c r="M34">
        <v>0</v>
      </c>
      <c r="P34" s="195">
        <v>5.0270270270270272</v>
      </c>
      <c r="Q34" s="196">
        <v>5</v>
      </c>
      <c r="R34" s="196">
        <v>5.833333333333333</v>
      </c>
      <c r="S34" s="197">
        <v>4.25</v>
      </c>
    </row>
    <row r="35" spans="1:19" ht="15.6" x14ac:dyDescent="0.3">
      <c r="A35" s="63">
        <v>32</v>
      </c>
      <c r="B35" s="63">
        <v>1</v>
      </c>
      <c r="C35" s="201" t="s">
        <v>1066</v>
      </c>
      <c r="D35">
        <v>1</v>
      </c>
      <c r="E35">
        <v>1</v>
      </c>
      <c r="F35">
        <v>1</v>
      </c>
      <c r="G35">
        <v>1</v>
      </c>
      <c r="I35">
        <v>1</v>
      </c>
      <c r="J35">
        <v>1</v>
      </c>
      <c r="K35">
        <v>1</v>
      </c>
      <c r="M35">
        <v>1</v>
      </c>
      <c r="N35">
        <v>1</v>
      </c>
      <c r="P35" s="195">
        <v>4.371428571428571</v>
      </c>
      <c r="Q35" s="196">
        <v>5.333333333333333</v>
      </c>
      <c r="R35" s="196">
        <v>3</v>
      </c>
      <c r="S35" s="197">
        <v>4.8181818181818183</v>
      </c>
    </row>
    <row r="36" spans="1:19" ht="15.6" x14ac:dyDescent="0.3">
      <c r="A36" s="63">
        <v>33</v>
      </c>
      <c r="B36" s="63">
        <v>1</v>
      </c>
      <c r="C36" s="201" t="s">
        <v>1065</v>
      </c>
      <c r="D36">
        <v>1</v>
      </c>
      <c r="E36">
        <v>1</v>
      </c>
      <c r="F36">
        <v>1</v>
      </c>
      <c r="G36">
        <v>1</v>
      </c>
      <c r="I36">
        <v>1</v>
      </c>
      <c r="J36">
        <v>1</v>
      </c>
      <c r="K36">
        <v>1</v>
      </c>
      <c r="M36">
        <v>1</v>
      </c>
      <c r="N36">
        <v>1</v>
      </c>
      <c r="P36" s="195">
        <v>4.5999999999999996</v>
      </c>
      <c r="Q36" s="196">
        <v>5.1818181818181817</v>
      </c>
      <c r="R36" s="196">
        <v>4.916666666666667</v>
      </c>
      <c r="S36" s="197">
        <v>3.75</v>
      </c>
    </row>
    <row r="37" spans="1:19" ht="15.6" x14ac:dyDescent="0.3">
      <c r="A37" s="63">
        <v>34</v>
      </c>
      <c r="B37" s="63">
        <v>1</v>
      </c>
      <c r="C37" s="201" t="s">
        <v>1066</v>
      </c>
      <c r="D37">
        <v>0</v>
      </c>
      <c r="E37">
        <v>0</v>
      </c>
      <c r="F37">
        <v>0</v>
      </c>
      <c r="G37">
        <v>0</v>
      </c>
      <c r="P37" s="195">
        <v>4.6363636363636367</v>
      </c>
      <c r="Q37" s="196">
        <v>5.6363636363636367</v>
      </c>
      <c r="R37" s="196">
        <v>3.4</v>
      </c>
      <c r="S37" s="197">
        <v>4.75</v>
      </c>
    </row>
    <row r="38" spans="1:19" ht="15.6" x14ac:dyDescent="0.3">
      <c r="A38" s="63">
        <v>35</v>
      </c>
      <c r="B38" s="63">
        <v>1</v>
      </c>
      <c r="C38" s="201" t="s">
        <v>1065</v>
      </c>
      <c r="D38">
        <v>1</v>
      </c>
      <c r="E38">
        <v>1</v>
      </c>
      <c r="F38">
        <v>1</v>
      </c>
      <c r="G38">
        <v>1</v>
      </c>
      <c r="I38">
        <v>1</v>
      </c>
      <c r="J38">
        <v>1</v>
      </c>
      <c r="K38">
        <v>1</v>
      </c>
      <c r="M38">
        <v>1</v>
      </c>
      <c r="N38">
        <v>1</v>
      </c>
      <c r="P38" s="195">
        <v>4.3529411764705879</v>
      </c>
      <c r="Q38" s="196">
        <v>4.9230769230769234</v>
      </c>
      <c r="R38" s="196">
        <v>2.2000000000000002</v>
      </c>
      <c r="S38" s="197">
        <v>5.6363636363636367</v>
      </c>
    </row>
    <row r="39" spans="1:19" ht="15.6" x14ac:dyDescent="0.3">
      <c r="A39" s="16">
        <v>36</v>
      </c>
      <c r="B39" s="16">
        <v>0</v>
      </c>
      <c r="C39" s="16"/>
      <c r="D39">
        <v>0</v>
      </c>
      <c r="E39">
        <v>0</v>
      </c>
      <c r="F39">
        <v>0</v>
      </c>
      <c r="G39">
        <v>0</v>
      </c>
      <c r="P39" s="195">
        <v>4.76</v>
      </c>
      <c r="Q39" s="196">
        <v>4.8</v>
      </c>
      <c r="R39" s="196">
        <v>4.666666666666667</v>
      </c>
      <c r="S39" s="197">
        <v>4.833333333333333</v>
      </c>
    </row>
    <row r="40" spans="1:19" ht="15.6" x14ac:dyDescent="0.3">
      <c r="A40" s="63">
        <v>37</v>
      </c>
      <c r="B40" s="63">
        <v>1</v>
      </c>
      <c r="C40" s="201" t="s">
        <v>1066</v>
      </c>
      <c r="D40">
        <v>1</v>
      </c>
      <c r="E40">
        <v>0</v>
      </c>
      <c r="F40">
        <v>1</v>
      </c>
      <c r="G40">
        <v>1</v>
      </c>
      <c r="I40">
        <v>1</v>
      </c>
      <c r="J40">
        <v>0</v>
      </c>
      <c r="K40">
        <v>1</v>
      </c>
      <c r="M40">
        <v>0</v>
      </c>
      <c r="N40">
        <v>1</v>
      </c>
      <c r="P40" s="195">
        <v>4.6216216216216219</v>
      </c>
      <c r="Q40" s="196">
        <v>5.1538461538461542</v>
      </c>
      <c r="R40" s="196">
        <v>4.416666666666667</v>
      </c>
      <c r="S40" s="197">
        <v>4.25</v>
      </c>
    </row>
    <row r="41" spans="1:19" x14ac:dyDescent="0.3">
      <c r="A41" s="16">
        <v>38</v>
      </c>
      <c r="B41" s="16">
        <v>0</v>
      </c>
      <c r="C41" s="16"/>
      <c r="D41">
        <v>0</v>
      </c>
      <c r="E41">
        <v>0</v>
      </c>
      <c r="F41">
        <v>0</v>
      </c>
      <c r="G41">
        <v>0</v>
      </c>
    </row>
    <row r="42" spans="1:19" ht="15.6" x14ac:dyDescent="0.3">
      <c r="A42" s="34">
        <v>39</v>
      </c>
      <c r="B42" s="34">
        <v>0</v>
      </c>
      <c r="C42" s="34"/>
      <c r="D42">
        <v>0</v>
      </c>
      <c r="E42">
        <v>0</v>
      </c>
      <c r="F42">
        <v>0</v>
      </c>
      <c r="G42">
        <v>0</v>
      </c>
      <c r="P42" s="195">
        <v>4.3666666666666663</v>
      </c>
      <c r="Q42" s="196">
        <v>5.4545454545454541</v>
      </c>
      <c r="R42" s="196">
        <v>3.5454545454545454</v>
      </c>
      <c r="S42" s="197">
        <v>4</v>
      </c>
    </row>
    <row r="43" spans="1:19" ht="15.6" x14ac:dyDescent="0.3">
      <c r="A43" s="100">
        <v>40</v>
      </c>
      <c r="B43" s="189" t="s">
        <v>1053</v>
      </c>
      <c r="C43" s="189"/>
      <c r="D43" s="188"/>
      <c r="E43" s="188"/>
      <c r="F43" s="188"/>
      <c r="G43" s="188"/>
      <c r="P43" s="195">
        <v>4.4411764705882355</v>
      </c>
      <c r="Q43" s="196">
        <v>4.9090909090909092</v>
      </c>
      <c r="R43" s="196">
        <v>3.4166666666666665</v>
      </c>
      <c r="S43" s="197">
        <v>5.0909090909090908</v>
      </c>
    </row>
    <row r="44" spans="1:19" ht="15.6" x14ac:dyDescent="0.3">
      <c r="A44" s="64">
        <v>41</v>
      </c>
      <c r="B44" s="64">
        <v>1</v>
      </c>
      <c r="C44" s="64" t="s">
        <v>1065</v>
      </c>
      <c r="D44">
        <v>1</v>
      </c>
      <c r="E44">
        <v>1</v>
      </c>
      <c r="F44">
        <v>1</v>
      </c>
      <c r="G44">
        <v>1</v>
      </c>
      <c r="I44">
        <v>1</v>
      </c>
      <c r="J44">
        <v>1</v>
      </c>
      <c r="K44">
        <v>1</v>
      </c>
      <c r="M44">
        <v>1</v>
      </c>
      <c r="N44">
        <v>1</v>
      </c>
      <c r="P44" s="195">
        <v>4.2162162162162158</v>
      </c>
      <c r="Q44" s="196">
        <v>4.0769230769230766</v>
      </c>
      <c r="R44" s="196">
        <v>3.9166666666666665</v>
      </c>
      <c r="S44" s="197">
        <v>4.666666666666667</v>
      </c>
    </row>
    <row r="45" spans="1:19" ht="15.6" x14ac:dyDescent="0.3">
      <c r="A45" s="64">
        <v>42</v>
      </c>
      <c r="B45" s="64">
        <v>1</v>
      </c>
      <c r="C45" s="64" t="s">
        <v>1066</v>
      </c>
      <c r="D45">
        <v>1</v>
      </c>
      <c r="E45">
        <v>1</v>
      </c>
      <c r="F45">
        <v>1</v>
      </c>
      <c r="G45">
        <v>1</v>
      </c>
      <c r="I45">
        <v>1</v>
      </c>
      <c r="J45">
        <v>1</v>
      </c>
      <c r="K45">
        <v>1</v>
      </c>
      <c r="M45">
        <v>1</v>
      </c>
      <c r="N45">
        <v>1</v>
      </c>
      <c r="P45" s="195">
        <v>5.382352941176471</v>
      </c>
      <c r="Q45" s="196">
        <v>6.5384615384615383</v>
      </c>
      <c r="R45" s="196">
        <v>4.8</v>
      </c>
      <c r="S45" s="197">
        <v>4.5454545454545459</v>
      </c>
    </row>
    <row r="46" spans="1:19" ht="15.6" x14ac:dyDescent="0.3">
      <c r="A46" s="64">
        <v>43</v>
      </c>
      <c r="B46" s="64">
        <v>1</v>
      </c>
      <c r="C46" s="64" t="s">
        <v>1066</v>
      </c>
      <c r="D46">
        <v>1</v>
      </c>
      <c r="E46">
        <v>0</v>
      </c>
      <c r="F46">
        <v>1</v>
      </c>
      <c r="G46">
        <v>0</v>
      </c>
      <c r="M46">
        <v>0</v>
      </c>
      <c r="N46">
        <v>1</v>
      </c>
      <c r="P46" s="195">
        <v>4.4848484848484844</v>
      </c>
      <c r="Q46" s="196">
        <v>4.833333333333333</v>
      </c>
      <c r="R46" s="196">
        <v>5.1111111111111107</v>
      </c>
      <c r="S46" s="197">
        <v>3.6666666666666665</v>
      </c>
    </row>
    <row r="47" spans="1:19" ht="15.6" x14ac:dyDescent="0.3">
      <c r="A47" s="64">
        <v>44</v>
      </c>
      <c r="B47" s="64">
        <v>1</v>
      </c>
      <c r="C47" s="64" t="s">
        <v>1066</v>
      </c>
      <c r="D47">
        <v>1</v>
      </c>
      <c r="E47">
        <v>0</v>
      </c>
      <c r="F47">
        <v>0</v>
      </c>
      <c r="G47">
        <v>0</v>
      </c>
      <c r="M47">
        <v>0</v>
      </c>
      <c r="N47">
        <v>0</v>
      </c>
      <c r="P47" s="195">
        <v>4.5588235294117645</v>
      </c>
      <c r="Q47" s="196">
        <v>4.6363636363636367</v>
      </c>
      <c r="R47" s="196">
        <v>4</v>
      </c>
      <c r="S47" s="197">
        <v>5.0909090909090908</v>
      </c>
    </row>
    <row r="48" spans="1:19" ht="15.6" x14ac:dyDescent="0.3">
      <c r="A48" s="64">
        <v>45</v>
      </c>
      <c r="B48" s="64">
        <v>1</v>
      </c>
      <c r="C48" s="64" t="s">
        <v>1066</v>
      </c>
      <c r="D48">
        <v>1</v>
      </c>
      <c r="E48">
        <v>0</v>
      </c>
      <c r="F48">
        <v>1</v>
      </c>
      <c r="G48">
        <v>0</v>
      </c>
      <c r="M48">
        <v>0</v>
      </c>
      <c r="N48">
        <v>1</v>
      </c>
      <c r="P48" s="195">
        <v>4.1081081081081079</v>
      </c>
      <c r="Q48" s="196">
        <v>4.6923076923076925</v>
      </c>
      <c r="R48" s="196">
        <v>3.4166666666666665</v>
      </c>
      <c r="S48" s="197">
        <v>4.166666666666667</v>
      </c>
    </row>
    <row r="49" spans="1:19" ht="15.6" x14ac:dyDescent="0.3">
      <c r="A49" s="34">
        <v>46</v>
      </c>
      <c r="B49" s="34">
        <v>0</v>
      </c>
      <c r="C49" s="34"/>
      <c r="D49">
        <v>0</v>
      </c>
      <c r="E49">
        <v>0</v>
      </c>
      <c r="F49">
        <v>0</v>
      </c>
      <c r="G49">
        <v>0</v>
      </c>
      <c r="P49" s="195">
        <v>4.8611111111111107</v>
      </c>
      <c r="Q49" s="196">
        <v>5.9230769230769234</v>
      </c>
      <c r="R49" s="196">
        <v>4.2727272727272725</v>
      </c>
      <c r="S49" s="197">
        <v>4.25</v>
      </c>
    </row>
    <row r="50" spans="1:19" ht="15.6" x14ac:dyDescent="0.3">
      <c r="A50" s="34">
        <v>47</v>
      </c>
      <c r="B50" s="34">
        <v>0</v>
      </c>
      <c r="C50" s="34"/>
      <c r="D50">
        <v>0</v>
      </c>
      <c r="E50">
        <v>1</v>
      </c>
      <c r="F50">
        <v>0</v>
      </c>
      <c r="G50">
        <v>0</v>
      </c>
      <c r="M50">
        <v>0</v>
      </c>
      <c r="P50" s="195">
        <v>4.3235294117647056</v>
      </c>
      <c r="Q50" s="196">
        <v>5</v>
      </c>
      <c r="R50" s="196">
        <v>2.6363636363636362</v>
      </c>
      <c r="S50" s="197">
        <v>5.25</v>
      </c>
    </row>
    <row r="51" spans="1:19" ht="15.6" x14ac:dyDescent="0.3">
      <c r="A51" s="34">
        <v>48</v>
      </c>
      <c r="B51" s="34">
        <v>0</v>
      </c>
      <c r="C51" s="34"/>
      <c r="D51">
        <v>0</v>
      </c>
      <c r="E51">
        <v>0</v>
      </c>
      <c r="F51">
        <v>0</v>
      </c>
      <c r="G51">
        <v>0</v>
      </c>
      <c r="P51" s="195">
        <v>4.1875</v>
      </c>
      <c r="Q51" s="196">
        <v>5.4545454545454541</v>
      </c>
      <c r="R51" s="196">
        <v>2.9</v>
      </c>
      <c r="S51" s="197">
        <v>4.0909090909090908</v>
      </c>
    </row>
    <row r="52" spans="1:19" ht="15.6" x14ac:dyDescent="0.3">
      <c r="A52" s="64">
        <v>49</v>
      </c>
      <c r="B52" s="64">
        <v>1</v>
      </c>
      <c r="C52" s="64" t="s">
        <v>1065</v>
      </c>
      <c r="D52">
        <v>1</v>
      </c>
      <c r="E52">
        <v>0</v>
      </c>
      <c r="F52">
        <v>1</v>
      </c>
      <c r="G52">
        <v>0</v>
      </c>
      <c r="M52">
        <v>0</v>
      </c>
      <c r="N52">
        <v>1</v>
      </c>
      <c r="P52" s="195">
        <v>4.6486486486486482</v>
      </c>
      <c r="Q52" s="196">
        <v>5.1538461538461542</v>
      </c>
      <c r="R52" s="196">
        <v>4.166666666666667</v>
      </c>
      <c r="S52" s="197">
        <v>4.583333333333333</v>
      </c>
    </row>
    <row r="53" spans="1:19" ht="15.6" x14ac:dyDescent="0.3">
      <c r="A53" s="64">
        <v>50</v>
      </c>
      <c r="B53" s="64">
        <v>1</v>
      </c>
      <c r="C53" s="64" t="s">
        <v>1065</v>
      </c>
      <c r="D53">
        <v>1</v>
      </c>
      <c r="E53">
        <v>1</v>
      </c>
      <c r="F53">
        <v>1</v>
      </c>
      <c r="G53">
        <v>1</v>
      </c>
      <c r="I53">
        <v>1</v>
      </c>
      <c r="J53">
        <v>1</v>
      </c>
      <c r="K53">
        <v>1</v>
      </c>
      <c r="M53">
        <v>1</v>
      </c>
      <c r="N53">
        <v>1</v>
      </c>
      <c r="P53" s="195">
        <v>4.833333333333333</v>
      </c>
      <c r="Q53" s="196">
        <v>5.5</v>
      </c>
      <c r="R53" s="196">
        <v>3.9166666666666665</v>
      </c>
      <c r="S53" s="197">
        <v>5.083333333333333</v>
      </c>
    </row>
    <row r="54" spans="1:19" ht="15.6" x14ac:dyDescent="0.3">
      <c r="A54" s="64">
        <v>51</v>
      </c>
      <c r="B54" s="64">
        <v>1</v>
      </c>
      <c r="C54" s="64" t="s">
        <v>1066</v>
      </c>
      <c r="D54">
        <v>1</v>
      </c>
      <c r="E54">
        <v>0</v>
      </c>
      <c r="F54">
        <v>1</v>
      </c>
      <c r="G54">
        <v>0</v>
      </c>
      <c r="M54">
        <v>0</v>
      </c>
      <c r="N54">
        <v>1</v>
      </c>
      <c r="P54" s="195"/>
      <c r="Q54" s="196"/>
      <c r="R54" s="196"/>
      <c r="S54" s="197"/>
    </row>
    <row r="55" spans="1:19" ht="15.6" x14ac:dyDescent="0.3">
      <c r="A55" s="64">
        <v>52</v>
      </c>
      <c r="B55" s="64">
        <v>1</v>
      </c>
      <c r="C55" s="64" t="s">
        <v>1066</v>
      </c>
      <c r="D55">
        <v>1</v>
      </c>
      <c r="E55">
        <v>1</v>
      </c>
      <c r="F55">
        <v>1</v>
      </c>
      <c r="G55">
        <v>1</v>
      </c>
      <c r="I55">
        <v>1</v>
      </c>
      <c r="J55">
        <v>1</v>
      </c>
      <c r="K55">
        <v>1</v>
      </c>
      <c r="M55">
        <v>1</v>
      </c>
      <c r="N55">
        <v>1</v>
      </c>
      <c r="P55" s="195">
        <v>4.5945945945945947</v>
      </c>
      <c r="Q55" s="196">
        <v>4.5384615384615383</v>
      </c>
      <c r="R55" s="196">
        <v>5</v>
      </c>
      <c r="S55" s="197">
        <v>4.25</v>
      </c>
    </row>
    <row r="56" spans="1:19" ht="15.6" x14ac:dyDescent="0.3">
      <c r="A56" s="34">
        <v>53</v>
      </c>
      <c r="B56" s="34">
        <v>0</v>
      </c>
      <c r="C56" s="34"/>
      <c r="D56">
        <v>0</v>
      </c>
      <c r="E56">
        <v>0</v>
      </c>
      <c r="F56">
        <v>0</v>
      </c>
      <c r="G56">
        <v>0</v>
      </c>
      <c r="P56" s="195">
        <v>4.9090909090909092</v>
      </c>
      <c r="Q56" s="196">
        <v>5.6363636363636367</v>
      </c>
      <c r="R56" s="196">
        <v>3.6666666666666665</v>
      </c>
      <c r="S56" s="197">
        <v>5.6</v>
      </c>
    </row>
    <row r="57" spans="1:19" ht="15.6" x14ac:dyDescent="0.3">
      <c r="A57" s="64">
        <v>54</v>
      </c>
      <c r="B57" s="64">
        <v>1</v>
      </c>
      <c r="C57" s="64" t="s">
        <v>1066</v>
      </c>
      <c r="D57">
        <v>1</v>
      </c>
      <c r="E57">
        <v>1</v>
      </c>
      <c r="F57">
        <v>1</v>
      </c>
      <c r="G57">
        <v>1</v>
      </c>
      <c r="I57">
        <v>1</v>
      </c>
      <c r="J57">
        <v>1</v>
      </c>
      <c r="K57">
        <v>1</v>
      </c>
      <c r="M57">
        <v>1</v>
      </c>
      <c r="N57">
        <v>1</v>
      </c>
      <c r="P57" s="195">
        <v>4.5483870967741939</v>
      </c>
      <c r="Q57" s="196">
        <v>5</v>
      </c>
      <c r="R57" s="196">
        <v>3.6</v>
      </c>
      <c r="S57" s="197">
        <v>5</v>
      </c>
    </row>
    <row r="58" spans="1:19" ht="15.6" x14ac:dyDescent="0.3">
      <c r="A58" s="64">
        <v>55</v>
      </c>
      <c r="B58" s="64">
        <v>1</v>
      </c>
      <c r="C58" s="64" t="s">
        <v>1065</v>
      </c>
      <c r="D58">
        <v>1</v>
      </c>
      <c r="E58">
        <v>0</v>
      </c>
      <c r="F58">
        <v>1</v>
      </c>
      <c r="G58">
        <v>1</v>
      </c>
      <c r="I58">
        <v>1</v>
      </c>
      <c r="J58">
        <v>0</v>
      </c>
      <c r="K58">
        <v>1</v>
      </c>
      <c r="M58">
        <v>0</v>
      </c>
      <c r="N58">
        <v>1</v>
      </c>
      <c r="P58" s="195">
        <v>5.25</v>
      </c>
      <c r="Q58" s="196">
        <v>5.384615384615385</v>
      </c>
      <c r="R58" s="196">
        <v>5.583333333333333</v>
      </c>
      <c r="S58" s="197">
        <v>4.7272727272727275</v>
      </c>
    </row>
    <row r="59" spans="1:19" ht="15.6" x14ac:dyDescent="0.3">
      <c r="A59" s="64">
        <v>56</v>
      </c>
      <c r="B59" s="64">
        <v>1</v>
      </c>
      <c r="C59" s="64" t="s">
        <v>1066</v>
      </c>
      <c r="D59">
        <v>0</v>
      </c>
      <c r="E59">
        <v>0</v>
      </c>
      <c r="F59">
        <v>0</v>
      </c>
      <c r="G59">
        <v>0</v>
      </c>
      <c r="P59" s="195">
        <v>4.8787878787878789</v>
      </c>
      <c r="Q59" s="196">
        <v>5.4545454545454541</v>
      </c>
      <c r="R59" s="196">
        <v>3.6</v>
      </c>
      <c r="S59" s="197">
        <v>5.416666666666667</v>
      </c>
    </row>
    <row r="60" spans="1:19" ht="15.6" x14ac:dyDescent="0.3">
      <c r="A60" s="64">
        <v>57</v>
      </c>
      <c r="B60" s="64">
        <v>1</v>
      </c>
      <c r="C60" s="64" t="s">
        <v>1066</v>
      </c>
      <c r="D60">
        <v>1</v>
      </c>
      <c r="E60">
        <v>0</v>
      </c>
      <c r="F60">
        <v>1</v>
      </c>
      <c r="G60">
        <v>1</v>
      </c>
      <c r="I60">
        <v>1</v>
      </c>
      <c r="J60">
        <v>0</v>
      </c>
      <c r="K60">
        <v>1</v>
      </c>
      <c r="M60">
        <v>0</v>
      </c>
      <c r="N60">
        <v>1</v>
      </c>
      <c r="P60" s="195">
        <v>4.8108108108108105</v>
      </c>
      <c r="Q60" s="196">
        <v>5.5384615384615383</v>
      </c>
      <c r="R60" s="196">
        <v>3.1666666666666665</v>
      </c>
      <c r="S60" s="197">
        <v>5.666666666666667</v>
      </c>
    </row>
    <row r="61" spans="1:19" x14ac:dyDescent="0.3">
      <c r="A61" s="61">
        <v>58</v>
      </c>
      <c r="B61" s="64">
        <v>1</v>
      </c>
      <c r="C61" s="64" t="s">
        <v>1065</v>
      </c>
      <c r="D61">
        <v>1</v>
      </c>
      <c r="E61">
        <v>0</v>
      </c>
      <c r="F61">
        <v>1</v>
      </c>
      <c r="G61">
        <v>1</v>
      </c>
      <c r="H61" t="s">
        <v>1052</v>
      </c>
      <c r="I61">
        <v>1</v>
      </c>
      <c r="J61">
        <v>0</v>
      </c>
      <c r="K61">
        <v>1</v>
      </c>
      <c r="M61">
        <v>0</v>
      </c>
      <c r="N61">
        <v>1</v>
      </c>
    </row>
    <row r="62" spans="1:19" ht="15.6" x14ac:dyDescent="0.3">
      <c r="A62" s="61">
        <v>59</v>
      </c>
      <c r="B62" s="64">
        <v>1</v>
      </c>
      <c r="C62" s="64" t="s">
        <v>1066</v>
      </c>
      <c r="D62" s="96"/>
      <c r="E62">
        <v>1</v>
      </c>
      <c r="F62">
        <v>1</v>
      </c>
      <c r="G62">
        <v>1</v>
      </c>
      <c r="J62">
        <v>1</v>
      </c>
      <c r="K62">
        <v>1</v>
      </c>
      <c r="P62" s="195">
        <v>4.2647058823529411</v>
      </c>
      <c r="Q62" s="196">
        <v>3.75</v>
      </c>
      <c r="R62" s="196">
        <v>4.8181818181818183</v>
      </c>
      <c r="S62" s="197">
        <v>4.2727272727272725</v>
      </c>
    </row>
    <row r="63" spans="1:19" ht="15.6" x14ac:dyDescent="0.3">
      <c r="A63" s="61">
        <v>60</v>
      </c>
      <c r="B63" s="64">
        <v>1</v>
      </c>
      <c r="C63" s="64" t="s">
        <v>1065</v>
      </c>
      <c r="D63" s="96"/>
      <c r="E63">
        <v>0</v>
      </c>
      <c r="F63">
        <v>1</v>
      </c>
      <c r="G63">
        <v>1</v>
      </c>
      <c r="J63">
        <v>0</v>
      </c>
      <c r="K63">
        <v>1</v>
      </c>
      <c r="P63" s="195">
        <v>4.5405405405405403</v>
      </c>
      <c r="Q63" s="196">
        <v>5</v>
      </c>
      <c r="R63" s="196">
        <v>4.25</v>
      </c>
      <c r="S63" s="197">
        <v>4.333333333333333</v>
      </c>
    </row>
    <row r="64" spans="1:19" ht="15.6" x14ac:dyDescent="0.3">
      <c r="A64" s="61">
        <v>61</v>
      </c>
      <c r="B64" s="64">
        <v>1</v>
      </c>
      <c r="C64" s="64" t="s">
        <v>1065</v>
      </c>
      <c r="D64" s="96"/>
      <c r="E64">
        <v>1</v>
      </c>
      <c r="F64">
        <v>1</v>
      </c>
      <c r="G64">
        <v>1</v>
      </c>
      <c r="J64">
        <v>1</v>
      </c>
      <c r="K64">
        <v>1</v>
      </c>
      <c r="P64" s="195">
        <v>4.2972972972972974</v>
      </c>
      <c r="Q64" s="196">
        <v>3.8461538461538463</v>
      </c>
      <c r="R64" s="196">
        <v>3.25</v>
      </c>
      <c r="S64" s="197">
        <v>5.833333333333333</v>
      </c>
    </row>
    <row r="65" spans="1:19" ht="15.6" x14ac:dyDescent="0.3">
      <c r="A65" s="61">
        <v>62</v>
      </c>
      <c r="B65" s="64">
        <v>1</v>
      </c>
      <c r="C65" s="64" t="s">
        <v>1066</v>
      </c>
      <c r="D65" s="96"/>
      <c r="E65">
        <v>0</v>
      </c>
      <c r="F65">
        <v>1</v>
      </c>
      <c r="G65">
        <v>1</v>
      </c>
      <c r="J65">
        <v>0</v>
      </c>
      <c r="K65">
        <v>1</v>
      </c>
      <c r="P65" s="195">
        <v>4.8108108108108105</v>
      </c>
      <c r="Q65" s="196">
        <v>5.615384615384615</v>
      </c>
      <c r="R65" s="196">
        <v>3.25</v>
      </c>
      <c r="S65" s="197">
        <v>5.5</v>
      </c>
    </row>
    <row r="66" spans="1:19" ht="15.6" x14ac:dyDescent="0.3">
      <c r="A66" s="61">
        <v>63</v>
      </c>
      <c r="B66" s="64">
        <v>1</v>
      </c>
      <c r="C66" s="64" t="s">
        <v>1065</v>
      </c>
      <c r="D66" s="96"/>
      <c r="E66">
        <v>0</v>
      </c>
      <c r="F66">
        <v>1</v>
      </c>
      <c r="G66">
        <v>0</v>
      </c>
      <c r="P66" s="195">
        <v>4.1515151515151514</v>
      </c>
      <c r="Q66" s="196">
        <v>5.6363636363636367</v>
      </c>
      <c r="R66" s="196">
        <v>2.7272727272727271</v>
      </c>
      <c r="S66" s="197">
        <v>4.0909090909090908</v>
      </c>
    </row>
    <row r="67" spans="1:19" ht="15.6" x14ac:dyDescent="0.3">
      <c r="A67" s="61">
        <v>64</v>
      </c>
      <c r="B67" s="64">
        <v>1</v>
      </c>
      <c r="C67" s="64" t="s">
        <v>1066</v>
      </c>
      <c r="D67" s="96"/>
      <c r="E67">
        <v>1</v>
      </c>
      <c r="F67">
        <v>1</v>
      </c>
      <c r="G67">
        <v>1</v>
      </c>
      <c r="J67">
        <v>1</v>
      </c>
      <c r="K67">
        <v>1</v>
      </c>
      <c r="P67" s="195">
        <v>4.9444444444444446</v>
      </c>
      <c r="Q67" s="196">
        <v>4.8461538461538458</v>
      </c>
      <c r="R67" s="196">
        <v>5.4545454545454541</v>
      </c>
      <c r="S67" s="197">
        <v>4.583333333333333</v>
      </c>
    </row>
    <row r="68" spans="1:19" x14ac:dyDescent="0.3">
      <c r="A68">
        <v>65</v>
      </c>
      <c r="B68" s="34">
        <v>0</v>
      </c>
      <c r="C68" s="34"/>
      <c r="D68" s="96"/>
      <c r="E68">
        <v>0</v>
      </c>
      <c r="F68">
        <v>0</v>
      </c>
      <c r="G68">
        <v>0</v>
      </c>
    </row>
    <row r="69" spans="1:19" ht="15.6" x14ac:dyDescent="0.3">
      <c r="A69" s="61">
        <v>66</v>
      </c>
      <c r="B69" s="61">
        <v>1</v>
      </c>
      <c r="C69" s="61" t="s">
        <v>1065</v>
      </c>
      <c r="D69" s="96"/>
      <c r="E69">
        <v>1</v>
      </c>
      <c r="F69">
        <v>1</v>
      </c>
      <c r="G69">
        <v>0</v>
      </c>
      <c r="P69" s="195">
        <v>4.8181818181818183</v>
      </c>
      <c r="Q69" s="196">
        <v>5.5</v>
      </c>
      <c r="R69" s="196">
        <v>3.5454545454545454</v>
      </c>
      <c r="S69" s="197">
        <v>5.4</v>
      </c>
    </row>
    <row r="70" spans="1:19" ht="15.6" x14ac:dyDescent="0.3">
      <c r="A70">
        <v>67</v>
      </c>
      <c r="B70" s="34">
        <v>0</v>
      </c>
      <c r="C70" s="34"/>
      <c r="D70" s="96"/>
      <c r="E70">
        <v>0</v>
      </c>
      <c r="F70">
        <v>0</v>
      </c>
      <c r="G70">
        <v>0</v>
      </c>
      <c r="P70" s="198">
        <v>4.8</v>
      </c>
      <c r="Q70" s="196">
        <v>5.3076923076923075</v>
      </c>
      <c r="R70" s="196">
        <v>4.2727272727272725</v>
      </c>
      <c r="S70" s="197">
        <v>4.7272727272727275</v>
      </c>
    </row>
    <row r="71" spans="1:19" ht="15.6" x14ac:dyDescent="0.3">
      <c r="A71" s="70">
        <v>68</v>
      </c>
      <c r="B71" s="61">
        <v>1</v>
      </c>
      <c r="C71" s="61" t="s">
        <v>1065</v>
      </c>
      <c r="D71" s="96"/>
      <c r="E71">
        <v>0</v>
      </c>
      <c r="F71">
        <v>0</v>
      </c>
      <c r="G71">
        <v>0</v>
      </c>
      <c r="P71" s="194"/>
      <c r="Q71" s="185"/>
      <c r="R71" s="185"/>
      <c r="S71" s="200"/>
    </row>
    <row r="72" spans="1:19" ht="15.6" x14ac:dyDescent="0.3">
      <c r="A72" s="61">
        <v>69</v>
      </c>
      <c r="B72" s="61">
        <v>1</v>
      </c>
      <c r="C72" s="61" t="s">
        <v>1066</v>
      </c>
      <c r="D72" s="96"/>
      <c r="E72">
        <v>1</v>
      </c>
      <c r="F72">
        <v>1</v>
      </c>
      <c r="G72">
        <v>1</v>
      </c>
      <c r="J72">
        <v>1</v>
      </c>
      <c r="K72">
        <v>1</v>
      </c>
      <c r="P72" s="195">
        <v>5</v>
      </c>
      <c r="Q72" s="196">
        <v>5</v>
      </c>
      <c r="R72" s="196">
        <v>4</v>
      </c>
      <c r="S72" s="197">
        <v>5</v>
      </c>
    </row>
    <row r="73" spans="1:19" x14ac:dyDescent="0.3">
      <c r="A73">
        <v>70</v>
      </c>
      <c r="B73">
        <v>0</v>
      </c>
      <c r="D73" s="96"/>
      <c r="E73">
        <v>0</v>
      </c>
      <c r="F73">
        <v>0</v>
      </c>
      <c r="G73">
        <v>0</v>
      </c>
    </row>
    <row r="74" spans="1:19" ht="15.6" x14ac:dyDescent="0.3">
      <c r="A74" s="61">
        <v>71</v>
      </c>
      <c r="B74" s="61">
        <v>1</v>
      </c>
      <c r="C74" s="61" t="s">
        <v>1065</v>
      </c>
      <c r="D74" s="96"/>
      <c r="E74">
        <v>0</v>
      </c>
      <c r="F74">
        <v>1</v>
      </c>
      <c r="G74">
        <v>1</v>
      </c>
      <c r="J74">
        <v>0</v>
      </c>
      <c r="K74">
        <v>1</v>
      </c>
      <c r="P74" s="199">
        <v>5.7297297297297298</v>
      </c>
      <c r="Q74" s="196">
        <v>5.6923076923076925</v>
      </c>
      <c r="R74" s="196">
        <v>6.083333333333333</v>
      </c>
      <c r="S74" s="197">
        <v>5.416666666666667</v>
      </c>
    </row>
    <row r="75" spans="1:19" ht="15.6" x14ac:dyDescent="0.3">
      <c r="A75" s="101">
        <v>72</v>
      </c>
      <c r="B75" s="188" t="s">
        <v>1053</v>
      </c>
      <c r="C75" s="188"/>
      <c r="D75" s="96"/>
      <c r="E75" s="188"/>
      <c r="F75" s="188"/>
      <c r="G75" s="188"/>
      <c r="P75" s="195">
        <v>4.7027027027027026</v>
      </c>
      <c r="Q75" s="196">
        <v>5.3076923076923075</v>
      </c>
      <c r="R75" s="196">
        <v>3.6666666666666665</v>
      </c>
      <c r="S75" s="197">
        <v>5.083333333333333</v>
      </c>
    </row>
    <row r="76" spans="1:19" x14ac:dyDescent="0.3">
      <c r="A76" s="61">
        <v>73</v>
      </c>
      <c r="B76" s="61">
        <v>1</v>
      </c>
      <c r="C76" s="61" t="s">
        <v>1066</v>
      </c>
      <c r="D76" s="96"/>
      <c r="E76">
        <v>0</v>
      </c>
      <c r="F76">
        <v>1</v>
      </c>
      <c r="G76">
        <v>0</v>
      </c>
    </row>
    <row r="77" spans="1:19" ht="15.6" x14ac:dyDescent="0.3">
      <c r="A77" s="61">
        <v>74</v>
      </c>
      <c r="B77" s="61">
        <v>1</v>
      </c>
      <c r="C77" s="61" t="s">
        <v>1066</v>
      </c>
      <c r="D77" s="96"/>
      <c r="E77">
        <v>0</v>
      </c>
      <c r="F77">
        <v>1</v>
      </c>
      <c r="G77">
        <v>1</v>
      </c>
      <c r="J77">
        <v>0</v>
      </c>
      <c r="K77">
        <v>1</v>
      </c>
      <c r="P77" s="195">
        <v>3.9696969696969697</v>
      </c>
      <c r="Q77" s="196">
        <v>4.7272727272727275</v>
      </c>
      <c r="R77" s="196">
        <v>2.4545454545454546</v>
      </c>
      <c r="S77" s="197">
        <v>4.7272727272727275</v>
      </c>
    </row>
    <row r="78" spans="1:19" ht="15.6" x14ac:dyDescent="0.3">
      <c r="A78" s="64">
        <v>75</v>
      </c>
      <c r="B78" s="61">
        <v>1</v>
      </c>
      <c r="C78" s="61" t="s">
        <v>1066</v>
      </c>
      <c r="D78" s="96"/>
      <c r="E78">
        <v>0</v>
      </c>
      <c r="F78">
        <v>1</v>
      </c>
      <c r="G78">
        <v>0</v>
      </c>
      <c r="P78" s="195">
        <v>4.6428571428571432</v>
      </c>
      <c r="Q78" s="196">
        <v>4.0999999999999996</v>
      </c>
      <c r="R78" s="196">
        <v>4.4444444444444446</v>
      </c>
      <c r="S78" s="197">
        <v>5.4444444444444446</v>
      </c>
    </row>
    <row r="79" spans="1:19" ht="15.6" x14ac:dyDescent="0.3">
      <c r="A79" s="64">
        <v>76</v>
      </c>
      <c r="B79" s="61">
        <v>1</v>
      </c>
      <c r="C79" s="61" t="s">
        <v>1065</v>
      </c>
      <c r="D79" s="96"/>
      <c r="E79">
        <v>0</v>
      </c>
      <c r="F79">
        <v>1</v>
      </c>
      <c r="G79">
        <v>0</v>
      </c>
      <c r="P79" s="195">
        <v>3.8823529411764706</v>
      </c>
      <c r="Q79" s="196">
        <v>3.5833333333333335</v>
      </c>
      <c r="R79" s="196">
        <v>3.7</v>
      </c>
      <c r="S79" s="197">
        <v>4.333333333333333</v>
      </c>
    </row>
    <row r="80" spans="1:19" ht="15.6" x14ac:dyDescent="0.3">
      <c r="A80" s="64">
        <v>77</v>
      </c>
      <c r="B80" s="61">
        <v>1</v>
      </c>
      <c r="C80" s="61" t="s">
        <v>1066</v>
      </c>
      <c r="D80" s="96"/>
      <c r="E80">
        <v>1</v>
      </c>
      <c r="F80">
        <v>1</v>
      </c>
      <c r="G80">
        <v>0</v>
      </c>
      <c r="P80" s="195">
        <v>4.5999999999999996</v>
      </c>
      <c r="Q80" s="196">
        <v>5.6923076923076925</v>
      </c>
      <c r="R80" s="196">
        <v>3.7</v>
      </c>
      <c r="S80" s="197">
        <v>4.166666666666667</v>
      </c>
    </row>
    <row r="81" spans="1:19" ht="15.6" x14ac:dyDescent="0.3">
      <c r="A81" s="64">
        <v>78</v>
      </c>
      <c r="B81" s="61">
        <v>1</v>
      </c>
      <c r="C81" s="61" t="s">
        <v>1066</v>
      </c>
      <c r="D81" s="96"/>
      <c r="E81">
        <v>1</v>
      </c>
      <c r="F81">
        <v>0</v>
      </c>
      <c r="G81">
        <v>0</v>
      </c>
      <c r="P81" s="195">
        <v>4.0277777777777777</v>
      </c>
      <c r="Q81" s="196">
        <v>4.8461538461538458</v>
      </c>
      <c r="R81" s="196">
        <v>3.1666666666666665</v>
      </c>
      <c r="S81" s="197">
        <v>4</v>
      </c>
    </row>
    <row r="82" spans="1:19" ht="15.6" x14ac:dyDescent="0.3">
      <c r="A82" s="64">
        <v>79</v>
      </c>
      <c r="B82" s="61">
        <v>1</v>
      </c>
      <c r="C82" s="61" t="s">
        <v>1065</v>
      </c>
      <c r="D82" s="96"/>
      <c r="E82">
        <v>0</v>
      </c>
      <c r="F82">
        <v>1</v>
      </c>
      <c r="G82">
        <v>0</v>
      </c>
      <c r="P82" s="195">
        <v>4.2424242424242422</v>
      </c>
      <c r="Q82" s="196">
        <v>5.2727272727272725</v>
      </c>
      <c r="R82" s="196">
        <v>4.2</v>
      </c>
      <c r="S82" s="197">
        <v>3.3333333333333335</v>
      </c>
    </row>
    <row r="83" spans="1:19" ht="15.6" x14ac:dyDescent="0.3">
      <c r="A83" s="34">
        <v>80</v>
      </c>
      <c r="B83" s="34">
        <v>0</v>
      </c>
      <c r="C83" s="34"/>
      <c r="D83" s="96"/>
      <c r="E83">
        <v>0</v>
      </c>
      <c r="F83">
        <v>0</v>
      </c>
      <c r="G83">
        <v>0</v>
      </c>
      <c r="P83" s="195">
        <v>5.1111111111111107</v>
      </c>
      <c r="Q83" s="196">
        <v>5.615384615384615</v>
      </c>
      <c r="R83" s="196">
        <v>5.1818181818181817</v>
      </c>
      <c r="S83" s="197">
        <v>4.5</v>
      </c>
    </row>
    <row r="84" spans="1:19" x14ac:dyDescent="0.3">
      <c r="A84" s="100">
        <v>81</v>
      </c>
      <c r="B84" s="189" t="s">
        <v>1053</v>
      </c>
      <c r="C84" s="189"/>
      <c r="D84" s="96"/>
      <c r="E84" s="188"/>
      <c r="F84" s="188"/>
      <c r="G84" s="188"/>
    </row>
    <row r="85" spans="1:19" ht="15.6" x14ac:dyDescent="0.3">
      <c r="A85" s="34">
        <v>82</v>
      </c>
      <c r="B85" s="34">
        <v>0</v>
      </c>
      <c r="C85" s="34"/>
      <c r="D85" s="96"/>
      <c r="E85">
        <v>1</v>
      </c>
      <c r="F85">
        <v>0</v>
      </c>
      <c r="G85">
        <v>0</v>
      </c>
      <c r="P85" s="195">
        <v>4.9428571428571431</v>
      </c>
      <c r="Q85" s="196">
        <v>5.416666666666667</v>
      </c>
      <c r="R85" s="196">
        <v>5</v>
      </c>
      <c r="S85" s="197">
        <v>4.416666666666667</v>
      </c>
    </row>
    <row r="86" spans="1:19" x14ac:dyDescent="0.3">
      <c r="A86" s="34">
        <v>83</v>
      </c>
      <c r="B86" s="34">
        <v>0</v>
      </c>
      <c r="C86" s="34"/>
      <c r="D86" s="96"/>
      <c r="E86">
        <v>0</v>
      </c>
      <c r="F86">
        <v>0</v>
      </c>
      <c r="G86">
        <v>0</v>
      </c>
    </row>
    <row r="87" spans="1:19" ht="15.6" x14ac:dyDescent="0.3">
      <c r="A87" s="64">
        <v>84</v>
      </c>
      <c r="B87" s="64">
        <v>1</v>
      </c>
      <c r="C87" s="64" t="s">
        <v>1065</v>
      </c>
      <c r="D87" s="96"/>
      <c r="E87">
        <v>1</v>
      </c>
      <c r="F87">
        <v>1</v>
      </c>
      <c r="G87">
        <v>1</v>
      </c>
      <c r="J87">
        <v>1</v>
      </c>
      <c r="K87">
        <v>1</v>
      </c>
      <c r="P87" s="195">
        <v>4.3243243243243246</v>
      </c>
      <c r="Q87" s="196">
        <v>4.6923076923076925</v>
      </c>
      <c r="R87" s="196">
        <v>3.5833333333333335</v>
      </c>
      <c r="S87" s="197">
        <v>4.666666666666667</v>
      </c>
    </row>
    <row r="88" spans="1:19" ht="15.6" x14ac:dyDescent="0.3">
      <c r="A88" s="64">
        <v>85</v>
      </c>
      <c r="B88" s="64">
        <v>1</v>
      </c>
      <c r="C88" s="64" t="s">
        <v>1065</v>
      </c>
      <c r="D88" s="96"/>
      <c r="E88">
        <v>0</v>
      </c>
      <c r="F88">
        <v>0</v>
      </c>
      <c r="G88">
        <v>0</v>
      </c>
      <c r="P88" s="195">
        <v>4.4594594594594597</v>
      </c>
      <c r="Q88" s="196">
        <v>5.615384615384615</v>
      </c>
      <c r="R88" s="196">
        <v>3.5</v>
      </c>
      <c r="S88" s="197">
        <v>4.166666666666667</v>
      </c>
    </row>
    <row r="89" spans="1:19" ht="15.6" x14ac:dyDescent="0.3">
      <c r="A89" s="64">
        <v>86</v>
      </c>
      <c r="B89" s="64">
        <v>1</v>
      </c>
      <c r="C89" s="64" t="s">
        <v>1065</v>
      </c>
      <c r="D89" s="96"/>
      <c r="E89">
        <v>1</v>
      </c>
      <c r="F89">
        <v>1</v>
      </c>
      <c r="G89">
        <v>1</v>
      </c>
      <c r="J89">
        <v>1</v>
      </c>
      <c r="K89">
        <v>1</v>
      </c>
      <c r="P89" s="195">
        <v>4.2162162162162158</v>
      </c>
      <c r="Q89" s="196">
        <v>4.8461538461538458</v>
      </c>
      <c r="R89" s="196">
        <v>3.25</v>
      </c>
      <c r="S89" s="197">
        <v>4.5</v>
      </c>
    </row>
    <row r="90" spans="1:19" x14ac:dyDescent="0.3">
      <c r="A90" s="64">
        <v>87</v>
      </c>
      <c r="B90" s="64">
        <v>1</v>
      </c>
      <c r="C90" s="64" t="s">
        <v>1066</v>
      </c>
      <c r="D90" s="96"/>
      <c r="E90">
        <v>0</v>
      </c>
      <c r="F90">
        <v>1</v>
      </c>
      <c r="G90">
        <v>0</v>
      </c>
    </row>
    <row r="91" spans="1:19" ht="15.6" x14ac:dyDescent="0.3">
      <c r="A91" s="34">
        <v>88</v>
      </c>
      <c r="B91" s="34">
        <v>0</v>
      </c>
      <c r="C91" s="34"/>
      <c r="D91" s="96"/>
      <c r="E91">
        <v>1</v>
      </c>
      <c r="F91">
        <v>0</v>
      </c>
      <c r="G91">
        <v>0</v>
      </c>
      <c r="P91" s="195">
        <v>4.7941176470588234</v>
      </c>
      <c r="Q91" s="196">
        <v>4.5454545454545459</v>
      </c>
      <c r="R91" s="196">
        <v>4.8181818181818183</v>
      </c>
      <c r="S91" s="197">
        <v>5</v>
      </c>
    </row>
    <row r="92" spans="1:19" ht="15.6" x14ac:dyDescent="0.3">
      <c r="A92" s="64">
        <v>89</v>
      </c>
      <c r="B92" s="64">
        <v>1</v>
      </c>
      <c r="C92" s="64" t="s">
        <v>1066</v>
      </c>
      <c r="D92" s="96"/>
      <c r="E92">
        <v>0</v>
      </c>
      <c r="F92">
        <v>1</v>
      </c>
      <c r="G92">
        <v>1</v>
      </c>
      <c r="J92">
        <v>0</v>
      </c>
      <c r="K92">
        <v>1</v>
      </c>
      <c r="P92" s="195">
        <v>5.0810810810810807</v>
      </c>
      <c r="Q92" s="196">
        <v>5.1538461538461542</v>
      </c>
      <c r="R92" s="196">
        <v>4.333333333333333</v>
      </c>
      <c r="S92" s="197">
        <v>5.75</v>
      </c>
    </row>
    <row r="93" spans="1:19" ht="15.6" x14ac:dyDescent="0.3">
      <c r="A93" s="54">
        <v>90</v>
      </c>
      <c r="B93" s="34">
        <v>0</v>
      </c>
      <c r="C93" s="34"/>
      <c r="D93" s="96"/>
      <c r="E93">
        <v>1</v>
      </c>
      <c r="F93">
        <v>0</v>
      </c>
      <c r="G93">
        <v>0</v>
      </c>
      <c r="P93" s="195">
        <v>4.1714285714285717</v>
      </c>
      <c r="Q93" s="196">
        <v>4.75</v>
      </c>
      <c r="R93" s="196">
        <v>3.0833333333333335</v>
      </c>
      <c r="S93" s="197">
        <v>4.7272727272727275</v>
      </c>
    </row>
    <row r="94" spans="1:19" x14ac:dyDescent="0.3">
      <c r="A94" s="186" t="s">
        <v>124</v>
      </c>
      <c r="B94" s="186">
        <v>6</v>
      </c>
      <c r="C94" s="186"/>
    </row>
    <row r="95" spans="1:19" x14ac:dyDescent="0.3">
      <c r="A95" s="186" t="s">
        <v>1053</v>
      </c>
      <c r="B95" s="186">
        <v>3</v>
      </c>
      <c r="C95" s="186"/>
    </row>
    <row r="96" spans="1:19" x14ac:dyDescent="0.3">
      <c r="A96" s="187" t="s">
        <v>1054</v>
      </c>
      <c r="B96" s="187"/>
      <c r="C96" s="187"/>
      <c r="D96" s="187">
        <f>COUNTIF(D42:D60, "1")</f>
        <v>12</v>
      </c>
      <c r="E96" s="187">
        <f>COUNTIF(E42:E92, "1")</f>
        <v>17</v>
      </c>
      <c r="F96" s="187">
        <f>COUNTIF(F42:F92, "1")</f>
        <v>31</v>
      </c>
      <c r="G96" s="187">
        <f>COUNTIF(G42:G92, "1")</f>
        <v>19</v>
      </c>
      <c r="H96" s="187"/>
      <c r="I96" s="190">
        <f>COUNTIF(I42:I92, "1")</f>
        <v>8</v>
      </c>
      <c r="J96" s="190">
        <f>COUNTIF(J42:J92, "1")</f>
        <v>11</v>
      </c>
      <c r="K96" s="190">
        <f>COUNTIF(K42:K92, "1")</f>
        <v>19</v>
      </c>
      <c r="L96" s="190"/>
      <c r="M96" s="190">
        <f>COUNTIF(M42:M92, "1")</f>
        <v>5</v>
      </c>
      <c r="N96" s="190">
        <f>COUNTIF(N42:N92, "1")</f>
        <v>12</v>
      </c>
    </row>
    <row r="97" spans="1:7" x14ac:dyDescent="0.3">
      <c r="D97">
        <f>COUNTIF(D43:D60, "0")</f>
        <v>5</v>
      </c>
      <c r="E97">
        <f>COUNTIF(E43:E92, "0")</f>
        <v>30</v>
      </c>
      <c r="F97">
        <f>COUNTIF(F43:F92, "0")</f>
        <v>16</v>
      </c>
      <c r="G97">
        <f>COUNTIF(G43:G92, "0")</f>
        <v>28</v>
      </c>
    </row>
    <row r="98" spans="1:7" x14ac:dyDescent="0.3">
      <c r="A98" s="186"/>
      <c r="B98" s="186">
        <v>9</v>
      </c>
      <c r="C98" s="186"/>
    </row>
  </sheetData>
  <autoFilter ref="A3:S98" xr:uid="{F3573264-8199-40C2-A7B4-0CABF414DE17}">
    <sortState xmlns:xlrd2="http://schemas.microsoft.com/office/spreadsheetml/2017/richdata2" ref="A4:S98">
      <sortCondition ref="A3:A98"/>
    </sortState>
  </autoFilter>
  <mergeCells count="2">
    <mergeCell ref="I2:K2"/>
    <mergeCell ref="L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9m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Vanoncini</dc:creator>
  <cp:lastModifiedBy>Monica Vanoncini</cp:lastModifiedBy>
  <dcterms:created xsi:type="dcterms:W3CDTF">2021-01-22T15:45:43Z</dcterms:created>
  <dcterms:modified xsi:type="dcterms:W3CDTF">2025-07-03T13:43:04Z</dcterms:modified>
</cp:coreProperties>
</file>